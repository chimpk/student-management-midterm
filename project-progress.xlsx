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eo Dõi Công Việc" sheetId="1" state="visible" r:id="rId3"/>
    <sheet name="Kiểm Tra Yêu Cầu" sheetId="2" state="visible" r:id="rId4"/>
    <sheet name="Phân Bổ Khối Lượ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<sst xmlns="http://schemas.openxmlformats.org/spreadsheetml/2006/main" count="504" uniqueCount="193">
  <si>
    <t xml:space="preserve">Mã</t>
  </si>
  <si>
    <t xml:space="preserve">Tính năng</t>
  </si>
  <si>
    <t xml:space="preserve">Công việc</t>
  </si>
  <si>
    <t xml:space="preserve">Loại</t>
  </si>
  <si>
    <t xml:space="preserve">Thành viên</t>
  </si>
  <si>
    <t xml:space="preserve">Giờ ước tính</t>
  </si>
  <si>
    <t xml:space="preserve">Trạng thái</t>
  </si>
  <si>
    <t xml:space="preserve">Hạn chót</t>
  </si>
  <si>
    <t xml:space="preserve">Ghi chú</t>
  </si>
  <si>
    <t xml:space="preserve">T01</t>
  </si>
  <si>
    <t xml:space="preserve">Tài khoản</t>
  </si>
  <si>
    <t xml:space="preserve">Cấu hình Firebase Auth &amp; dự án</t>
  </si>
  <si>
    <t xml:space="preserve">Code</t>
  </si>
  <si>
    <t xml:space="preserve">THÀNH VIÊN A</t>
  </si>
  <si>
    <t xml:space="preserve">CẦN LÀM</t>
  </si>
  <si>
    <t xml:space="preserve">2026-10-10</t>
  </si>
  <si>
    <t xml:space="preserve">google-services.json, bật Auth</t>
  </si>
  <si>
    <t xml:space="preserve">T02</t>
  </si>
  <si>
    <t xml:space="preserve">Màn hình đăng nhập + kiểm tra dữ liệu</t>
  </si>
  <si>
    <t xml:space="preserve">Email/mật khẩu, xử lý lỗi</t>
  </si>
  <si>
    <t xml:space="preserve">T03</t>
  </si>
  <si>
    <t xml:space="preserve">Điều hướng theo vai trò sau đăng nhập</t>
  </si>
  <si>
    <t xml:space="preserve">Truy vấn vai trò từ Firestore</t>
  </si>
  <si>
    <t xml:space="preserve">T04</t>
  </si>
  <si>
    <t xml:space="preserve">Tài liệu</t>
  </si>
  <si>
    <t xml:space="preserve">Viết hướng dẫn cài đặt trong README</t>
  </si>
  <si>
    <t xml:space="preserve">Firebase, hướng dẫn chạy</t>
  </si>
  <si>
    <t xml:space="preserve">T05</t>
  </si>
  <si>
    <t xml:space="preserve">Sinh viên</t>
  </si>
  <si>
    <t xml:space="preserve">Thiết kế schema Firestore (users, students, certs)</t>
  </si>
  <si>
    <t xml:space="preserve">THÀNH VIÊN B</t>
  </si>
  <si>
    <t xml:space="preserve">Thiết kế dữ liệu</t>
  </si>
  <si>
    <t xml:space="preserve">T06</t>
  </si>
  <si>
    <t xml:space="preserve">Màn hình danh sách sinh viên + RecyclerView</t>
  </si>
  <si>
    <t xml:space="preserve">Lắng nghe snapshot thời gian thực</t>
  </si>
  <si>
    <t xml:space="preserve">T07</t>
  </si>
  <si>
    <t xml:space="preserve">Báo cáo</t>
  </si>
  <si>
    <t xml:space="preserve">Cấu trúc báo cáo + viết phần Giới thiệu</t>
  </si>
  <si>
    <t xml:space="preserve">Đề cương chương</t>
  </si>
  <si>
    <t xml:space="preserve">T08</t>
  </si>
  <si>
    <t xml:space="preserve">Người dùng</t>
  </si>
  <si>
    <t xml:space="preserve">Danh sách người dùng + thêm/sửa/xóa (Admin)</t>
  </si>
  <si>
    <t xml:space="preserve">2026-10-17</t>
  </si>
  <si>
    <t xml:space="preserve">Trạng thái: Normal/Locked (hiển thị Bình thường/Khóa)</t>
  </si>
  <si>
    <t xml:space="preserve">T09</t>
  </si>
  <si>
    <t xml:space="preserve">Khóa/mở khóa người dùng + chặn đăng nhập</t>
  </si>
  <si>
    <t xml:space="preserve">Kiểm tra status Locked khi đăng nhập</t>
  </si>
  <si>
    <t xml:space="preserve">T10</t>
  </si>
  <si>
    <t xml:space="preserve">Tải ảnh đại diện (đổi avatar)</t>
  </si>
  <si>
    <t xml:space="preserve">Firebase Storage (avatars/{uid}.jpg)</t>
  </si>
  <si>
    <t xml:space="preserve">T11</t>
  </si>
  <si>
    <t xml:space="preserve">Thêm/sửa/xóa sinh viên</t>
  </si>
  <si>
    <t xml:space="preserve">CRUD Firestore</t>
  </si>
  <si>
    <t xml:space="preserve">T12</t>
  </si>
  <si>
    <t xml:space="preserve">Màn hình chi tiết sinh viên</t>
  </si>
  <si>
    <t xml:space="preserve">Tất cả thông tin + danh sách chứng chỉ</t>
  </si>
  <si>
    <t xml:space="preserve">T13</t>
  </si>
  <si>
    <t xml:space="preserve">UML</t>
  </si>
  <si>
    <t xml:space="preserve">Vẽ biểu đồ use case + biểu đồ lớp</t>
  </si>
  <si>
    <t xml:space="preserve">Mermaid trong docs/uml.md</t>
  </si>
  <si>
    <t xml:space="preserve">T14</t>
  </si>
  <si>
    <t xml:space="preserve">Lịch sử đăng nhập: ghi lại + xem theo người dùng</t>
  </si>
  <si>
    <t xml:space="preserve">2026-10-24</t>
  </si>
  <si>
    <t xml:space="preserve">Subcollection loginHistory</t>
  </si>
  <si>
    <t xml:space="preserve">T15</t>
  </si>
  <si>
    <t xml:space="preserve">Bảo mật Firestore (rules cho users)</t>
  </si>
  <si>
    <t xml:space="preserve">firestore.rules</t>
  </si>
  <si>
    <t xml:space="preserve">T16</t>
  </si>
  <si>
    <t xml:space="preserve">Báo cáo: phần Xác thực + Quản lý người dùng</t>
  </si>
  <si>
    <t xml:space="preserve">Viết bằng lời của mình, có hình</t>
  </si>
  <si>
    <t xml:space="preserve">T17</t>
  </si>
  <si>
    <t xml:space="preserve">Tìm kiếm đa tiêu chí</t>
  </si>
  <si>
    <t xml:space="preserve">Lọc phía client trên dữ liệu listener</t>
  </si>
  <si>
    <t xml:space="preserve">T18</t>
  </si>
  <si>
    <t xml:space="preserve">Sắp xếp đa tiêu chí</t>
  </si>
  <si>
    <t xml:space="preserve">Sắp xếp phía client, không cần composite index</t>
  </si>
  <si>
    <t xml:space="preserve">T19</t>
  </si>
  <si>
    <t xml:space="preserve">Chứng chỉ</t>
  </si>
  <si>
    <t xml:space="preserve">CRUD chứng chỉ trong chi tiết sinh viên</t>
  </si>
  <si>
    <t xml:space="preserve">Subcollection certificates</t>
  </si>
  <si>
    <t xml:space="preserve">T20</t>
  </si>
  <si>
    <t xml:space="preserve">Giao diện</t>
  </si>
  <si>
    <t xml:space="preserve">Hoàn thiện UI: theme, icon, trạng thái loading</t>
  </si>
  <si>
    <t xml:space="preserve">2026-10-31</t>
  </si>
  <si>
    <t xml:space="preserve">Material Design</t>
  </si>
  <si>
    <t xml:space="preserve">T21</t>
  </si>
  <si>
    <t xml:space="preserve">Báo cáo: Bảo mật Firestore + Thiết kế hệ thống</t>
  </si>
  <si>
    <t xml:space="preserve">Biểu đồ sequence</t>
  </si>
  <si>
    <t xml:space="preserve">T22</t>
  </si>
  <si>
    <t xml:space="preserve">Ổn định</t>
  </si>
  <si>
    <t xml:space="preserve">Xử lý lỗi: mạng, xác thực, dữ liệu rỗng</t>
  </si>
  <si>
    <t xml:space="preserve">Toast, dialog</t>
  </si>
  <si>
    <t xml:space="preserve">T23</t>
  </si>
  <si>
    <t xml:space="preserve">Import/Export</t>
  </si>
  <si>
    <t xml:space="preserve">Import CSV sinh viên (phân tích + ghi hàng loạt)</t>
  </si>
  <si>
    <t xml:space="preserve">SAF file picker, 500/batch</t>
  </si>
  <si>
    <t xml:space="preserve">T24</t>
  </si>
  <si>
    <t xml:space="preserve">Export CSV sinh viên ra file</t>
  </si>
  <si>
    <t xml:space="preserve">SAF ghi file, UTF-8 BOM</t>
  </si>
  <si>
    <t xml:space="preserve">T25</t>
  </si>
  <si>
    <t xml:space="preserve">Import/Export CSV chứng chỉ</t>
  </si>
  <si>
    <t xml:space="preserve">Tương tự như sinh viên</t>
  </si>
  <si>
    <t xml:space="preserve">T26</t>
  </si>
  <si>
    <t xml:space="preserve">Kiểm thử</t>
  </si>
  <si>
    <t xml:space="preserve">Kiểm thử thủ công: Xác thực, Người dùng, vai trò</t>
  </si>
  <si>
    <t xml:space="preserve">2026-11-07</t>
  </si>
  <si>
    <t xml:space="preserve">Kế hoạch test trong docs/</t>
  </si>
  <si>
    <t xml:space="preserve">T27</t>
  </si>
  <si>
    <t xml:space="preserve">Trường hợp biên: tài khoản bị khóa, nhân viên bị từ chối</t>
  </si>
  <si>
    <t xml:space="preserve">Test bảo mật</t>
  </si>
  <si>
    <t xml:space="preserve">T28</t>
  </si>
  <si>
    <t xml:space="preserve">Báo cáo: Chương nghiên cứu Firestore</t>
  </si>
  <si>
    <t xml:space="preserve">NoSQL, truy vấn, rules, giá</t>
  </si>
  <si>
    <t xml:space="preserve">T29</t>
  </si>
  <si>
    <t xml:space="preserve">Kiểm thử: Sinh viên, Chứng chỉ, Import/Export</t>
  </si>
  <si>
    <t xml:space="preserve">Dấu tiếng Việt, file lỗi</t>
  </si>
  <si>
    <t xml:space="preserve">T30</t>
  </si>
  <si>
    <t xml:space="preserve">Báo cáo: triển khai Sinh viên/Chứng chỉ/IO</t>
  </si>
  <si>
    <t xml:space="preserve">Kèm screenshot</t>
  </si>
  <si>
    <t xml:space="preserve">T31</t>
  </si>
  <si>
    <t xml:space="preserve">Demo</t>
  </si>
  <si>
    <t xml:space="preserve">Kịch bản demo + tập luyện</t>
  </si>
  <si>
    <t xml:space="preserve">2026-11-14</t>
  </si>
  <si>
    <t xml:space="preserve">Tất cả tính năng, tối đa 20 phút</t>
  </si>
  <si>
    <t xml:space="preserve">T32</t>
  </si>
  <si>
    <t xml:space="preserve">Quay, chỉnh sửa và hoàn thiện video demo</t>
  </si>
  <si>
    <t xml:space="preserve">720p, có âm thanh</t>
  </si>
  <si>
    <t xml:space="preserve">T33</t>
  </si>
  <si>
    <t xml:space="preserve">Báo cáo: Kiểm thử, Kết luận, Tài liệu tham khảo</t>
  </si>
  <si>
    <t xml:space="preserve">Chương cuối</t>
  </si>
  <si>
    <t xml:space="preserve">T34</t>
  </si>
  <si>
    <t xml:space="preserve">Định dạng PDF: bìa, mục lục, chú thích hình</t>
  </si>
  <si>
    <t xml:space="preserve">Theo thang điểm</t>
  </si>
  <si>
    <t xml:space="preserve">T35</t>
  </si>
  <si>
    <t xml:space="preserve">Checklist nộp bài: PDF, video, source, admin</t>
  </si>
  <si>
    <t xml:space="preserve">Không dùng email cá nhân</t>
  </si>
  <si>
    <t xml:space="preserve">T36</t>
  </si>
  <si>
    <t xml:space="preserve">Vá lỗi cuối cùng trước khi nộp</t>
  </si>
  <si>
    <t xml:space="preserve">Build demo không crash</t>
  </si>
  <si>
    <t xml:space="preserve">Yêu cầu</t>
  </si>
  <si>
    <t xml:space="preserve">Điểm thành phần</t>
  </si>
  <si>
    <t xml:space="preserve">Đã lập trình?</t>
  </si>
  <si>
    <t xml:space="preserve">Đã kiểm thử?</t>
  </si>
  <si>
    <t xml:space="preserve">Đã tài liệu hóa?</t>
  </si>
  <si>
    <t xml:space="preserve">Tài khoản – Đăng nhập</t>
  </si>
  <si>
    <t xml:space="preserve">Tài khoản 1.5đ</t>
  </si>
  <si>
    <t xml:space="preserve">Chưa</t>
  </si>
  <si>
    <t xml:space="preserve">Tài khoản – Đổi ảnh đại diện</t>
  </si>
  <si>
    <t xml:space="preserve">Tài khoản – Xem lịch sử đăng nhập</t>
  </si>
  <si>
    <t xml:space="preserve">Người dùng – Xem danh sách người dùng</t>
  </si>
  <si>
    <t xml:space="preserve">Người dùng 2.0đ</t>
  </si>
  <si>
    <t xml:space="preserve">Người dùng – Thêm người dùng (tên, tuổi, SĐT, TT)</t>
  </si>
  <si>
    <t xml:space="preserve">Người dùng – Sửa người dùng</t>
  </si>
  <si>
    <t xml:space="preserve">Người dùng – Xóa người dùng</t>
  </si>
  <si>
    <t xml:space="preserve">Người dùng – Khóa/mở khóa (Normal/Locked)</t>
  </si>
  <si>
    <t xml:space="preserve">Người dùng – Xem lịch sử đăng nhập theo user</t>
  </si>
  <si>
    <t xml:space="preserve">Sinh viên – Danh sách sinh viên</t>
  </si>
  <si>
    <t xml:space="preserve">Sinh viên – Thêm sinh viên</t>
  </si>
  <si>
    <t xml:space="preserve">Sinh viên – Sửa sinh viên</t>
  </si>
  <si>
    <t xml:space="preserve">Sinh viên – Xóa sinh viên</t>
  </si>
  <si>
    <t xml:space="preserve">Sinh viên – Tìm kiếm đa tiêu chí</t>
  </si>
  <si>
    <t xml:space="preserve">Sinh viên – Sắp xếp đa tiêu chí</t>
  </si>
  <si>
    <t xml:space="preserve">Sinh viên – Trang chi tiết</t>
  </si>
  <si>
    <t xml:space="preserve">Chứng chỉ – Danh sách</t>
  </si>
  <si>
    <t xml:space="preserve">Chứng chỉ – Thêm/Sửa/Xóa</t>
  </si>
  <si>
    <t xml:space="preserve">Import/Export – Import sinh viên từ file</t>
  </si>
  <si>
    <t xml:space="preserve">Import/Export 1.0đ</t>
  </si>
  <si>
    <t xml:space="preserve">Import/Export – Export sinh viên ra CSV/Excel</t>
  </si>
  <si>
    <t xml:space="preserve">Import/Export – Import chứng chỉ từ file</t>
  </si>
  <si>
    <t xml:space="preserve">Import/Export – Export chứng chỉ ra CSV/Excel</t>
  </si>
  <si>
    <t xml:space="preserve">Vai trò – Admin: toàn quyền</t>
  </si>
  <si>
    <t xml:space="preserve">Bảo mật</t>
  </si>
  <si>
    <t xml:space="preserve">Vai trò – Manager: chức năng sinh viên</t>
  </si>
  <si>
    <t xml:space="preserve">Vai trò – Employee: chỉ xem + đổi avatar</t>
  </si>
  <si>
    <t xml:space="preserve">Chỉ Admin mới tạo tài khoản</t>
  </si>
  <si>
    <t xml:space="preserve">Giao diện – Nhất quán, Material Design</t>
  </si>
  <si>
    <t xml:space="preserve">UI 1.0đ</t>
  </si>
  <si>
    <t xml:space="preserve">Chung</t>
  </si>
  <si>
    <t xml:space="preserve">Ổn định – Không crash khi demo</t>
  </si>
  <si>
    <t xml:space="preserve">Ổn định 0.5đ</t>
  </si>
  <si>
    <t xml:space="preserve">Video demo (≤ 20 phút, 720p, có âm thanh)</t>
  </si>
  <si>
    <t xml:space="preserve">Bắt buộc</t>
  </si>
  <si>
    <t xml:space="preserve">Báo cáo PDF (tiếng Anh, tự viết)</t>
  </si>
  <si>
    <t xml:space="preserve">Báo cáo 4.0đ</t>
  </si>
  <si>
    <t xml:space="preserve">Source code + README + hướng dẫn chạy</t>
  </si>
  <si>
    <t xml:space="preserve">Tài khoản Admin cung cấp cho giám khảo</t>
  </si>
  <si>
    <t xml:space="preserve">Chỉ số</t>
  </si>
  <si>
    <t xml:space="preserve">Tổng số công việc</t>
  </si>
  <si>
    <t xml:space="preserve">Tổng giờ ước tính</t>
  </si>
  <si>
    <t xml:space="preserve">Công việc đã xong</t>
  </si>
  <si>
    <t xml:space="preserve">Tỷ lệ khối lượng %</t>
  </si>
  <si>
    <t xml:space="preserve">Chênh lệch %</t>
  </si>
  <si>
    <t xml:space="preserve">Đánh giá cân bằng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</si>
</sst>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48"/>
    <col collapsed="false" customWidth="true" hidden="false" outlineLevel="0" max="9" min="9" style="0" width="3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n">
        <v>3</v>
      </c>
      <c r="G2" s="2" t="s">
        <v>14</v>
      </c>
      <c r="H2" s="2" t="s">
        <v>15</v>
      </c>
      <c r="I2" s="2" t="s">
        <v>16</v>
      </c>
    </row>
    <row r="3" customFormat="false" ht="15" hidden="false" customHeight="false" outlineLevel="0" collapsed="false">
      <c r="A3" s="2" t="s">
        <v>17</v>
      </c>
      <c r="B3" s="2" t="s">
        <v>10</v>
      </c>
      <c r="C3" s="2" t="s">
        <v>18</v>
      </c>
      <c r="D3" s="2" t="s">
        <v>12</v>
      </c>
      <c r="E3" s="2" t="s">
        <v>13</v>
      </c>
      <c r="F3" s="2" t="n">
        <v>4</v>
      </c>
      <c r="G3" s="2" t="s">
        <v>14</v>
      </c>
      <c r="H3" s="2" t="s">
        <v>15</v>
      </c>
      <c r="I3" s="2" t="s">
        <v>19</v>
      </c>
    </row>
    <row r="4" customFormat="false" ht="15" hidden="false" customHeight="false" outlineLevel="0" collapsed="false">
      <c r="A4" s="2" t="s">
        <v>20</v>
      </c>
      <c r="B4" s="2" t="s">
        <v>10</v>
      </c>
      <c r="C4" s="2" t="s">
        <v>21</v>
      </c>
      <c r="D4" s="2" t="s">
        <v>12</v>
      </c>
      <c r="E4" s="2" t="s">
        <v>13</v>
      </c>
      <c r="F4" s="2" t="n">
        <v>3</v>
      </c>
      <c r="G4" s="2" t="s">
        <v>14</v>
      </c>
      <c r="H4" s="2" t="s">
        <v>15</v>
      </c>
      <c r="I4" s="2" t="s">
        <v>22</v>
      </c>
    </row>
    <row r="5" customFormat="false" ht="15" hidden="false" customHeight="false" outlineLevel="0" collapsed="false">
      <c r="A5" s="2" t="s">
        <v>23</v>
      </c>
      <c r="B5" s="2" t="s">
        <v>24</v>
      </c>
      <c r="C5" s="2" t="s">
        <v>25</v>
      </c>
      <c r="D5" s="2" t="s">
        <v>24</v>
      </c>
      <c r="E5" s="2" t="s">
        <v>13</v>
      </c>
      <c r="F5" s="2" t="n">
        <v>1</v>
      </c>
      <c r="G5" s="2" t="s">
        <v>14</v>
      </c>
      <c r="H5" s="2" t="s">
        <v>15</v>
      </c>
      <c r="I5" s="2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24</v>
      </c>
      <c r="E6" s="3" t="s">
        <v>30</v>
      </c>
      <c r="F6" s="3" t="n">
        <v>3</v>
      </c>
      <c r="G6" s="3" t="s">
        <v>14</v>
      </c>
      <c r="H6" s="3" t="s">
        <v>15</v>
      </c>
      <c r="I6" s="3" t="s">
        <v>31</v>
      </c>
    </row>
    <row r="7" customFormat="false" ht="15" hidden="false" customHeight="false" outlineLevel="0" collapsed="false">
      <c r="A7" s="3" t="s">
        <v>32</v>
      </c>
      <c r="B7" s="3" t="s">
        <v>28</v>
      </c>
      <c r="C7" s="3" t="s">
        <v>33</v>
      </c>
      <c r="D7" s="3" t="s">
        <v>12</v>
      </c>
      <c r="E7" s="3" t="s">
        <v>30</v>
      </c>
      <c r="F7" s="3" t="n">
        <v>4</v>
      </c>
      <c r="G7" s="3" t="s">
        <v>14</v>
      </c>
      <c r="H7" s="3" t="s">
        <v>15</v>
      </c>
      <c r="I7" s="3" t="s">
        <v>34</v>
      </c>
    </row>
    <row r="8" customFormat="false" ht="15" hidden="false" customHeight="false" outlineLevel="0" collapsed="false">
      <c r="A8" s="3" t="s">
        <v>35</v>
      </c>
      <c r="B8" s="3" t="s">
        <v>36</v>
      </c>
      <c r="C8" s="3" t="s">
        <v>37</v>
      </c>
      <c r="D8" s="3" t="s">
        <v>36</v>
      </c>
      <c r="E8" s="3" t="s">
        <v>13</v>
      </c>
      <c r="F8" s="3" t="n">
        <v>2</v>
      </c>
      <c r="G8" s="3" t="s">
        <v>14</v>
      </c>
      <c r="H8" s="3" t="s">
        <v>15</v>
      </c>
      <c r="I8" s="3" t="s">
        <v>38</v>
      </c>
    </row>
    <row r="9" customFormat="false" ht="15" hidden="false" customHeight="false" outlineLevel="0" collapsed="false">
      <c r="A9" s="2" t="s">
        <v>39</v>
      </c>
      <c r="B9" s="2" t="s">
        <v>40</v>
      </c>
      <c r="C9" s="2" t="s">
        <v>41</v>
      </c>
      <c r="D9" s="2" t="s">
        <v>12</v>
      </c>
      <c r="E9" s="2" t="s">
        <v>13</v>
      </c>
      <c r="F9" s="2" t="n">
        <v>5</v>
      </c>
      <c r="G9" s="2" t="s">
        <v>14</v>
      </c>
      <c r="H9" s="2" t="s">
        <v>42</v>
      </c>
      <c r="I9" s="2" t="s">
        <v>43</v>
      </c>
    </row>
    <row r="10" customFormat="false" ht="15" hidden="false" customHeight="false" outlineLevel="0" collapsed="false">
      <c r="A10" s="2" t="s">
        <v>44</v>
      </c>
      <c r="B10" s="2" t="s">
        <v>40</v>
      </c>
      <c r="C10" s="2" t="s">
        <v>45</v>
      </c>
      <c r="D10" s="2" t="s">
        <v>12</v>
      </c>
      <c r="E10" s="2" t="s">
        <v>13</v>
      </c>
      <c r="F10" s="2" t="n">
        <v>3</v>
      </c>
      <c r="G10" s="2" t="s">
        <v>14</v>
      </c>
      <c r="H10" s="2" t="s">
        <v>42</v>
      </c>
      <c r="I10" s="2" t="s">
        <v>46</v>
      </c>
    </row>
    <row r="11" customFormat="false" ht="15" hidden="false" customHeight="false" outlineLevel="0" collapsed="false">
      <c r="A11" s="2" t="s">
        <v>47</v>
      </c>
      <c r="B11" s="2" t="s">
        <v>10</v>
      </c>
      <c r="C11" s="2" t="s">
        <v>48</v>
      </c>
      <c r="D11" s="2" t="s">
        <v>12</v>
      </c>
      <c r="E11" s="2" t="s">
        <v>13</v>
      </c>
      <c r="F11" s="2" t="n">
        <v>3</v>
      </c>
      <c r="G11" s="2" t="s">
        <v>14</v>
      </c>
      <c r="H11" s="2" t="s">
        <v>42</v>
      </c>
      <c r="I11" s="2" t="s">
        <v>49</v>
      </c>
    </row>
    <row r="12" customFormat="false" ht="15" hidden="false" customHeight="false" outlineLevel="0" collapsed="false">
      <c r="A12" s="3" t="s">
        <v>50</v>
      </c>
      <c r="B12" s="3" t="s">
        <v>28</v>
      </c>
      <c r="C12" s="3" t="s">
        <v>51</v>
      </c>
      <c r="D12" s="3" t="s">
        <v>12</v>
      </c>
      <c r="E12" s="3" t="s">
        <v>30</v>
      </c>
      <c r="F12" s="3" t="n">
        <v>5</v>
      </c>
      <c r="G12" s="3" t="s">
        <v>14</v>
      </c>
      <c r="H12" s="3" t="s">
        <v>42</v>
      </c>
      <c r="I12" s="3" t="s">
        <v>52</v>
      </c>
    </row>
    <row r="13" customFormat="false" ht="15" hidden="false" customHeight="false" outlineLevel="0" collapsed="false">
      <c r="A13" s="3" t="s">
        <v>53</v>
      </c>
      <c r="B13" s="3" t="s">
        <v>28</v>
      </c>
      <c r="C13" s="3" t="s">
        <v>54</v>
      </c>
      <c r="D13" s="3" t="s">
        <v>12</v>
      </c>
      <c r="E13" s="3" t="s">
        <v>30</v>
      </c>
      <c r="F13" s="3" t="n">
        <v>2</v>
      </c>
      <c r="G13" s="3" t="s">
        <v>14</v>
      </c>
      <c r="H13" s="3" t="s">
        <v>42</v>
      </c>
      <c r="I13" s="3" t="s">
        <v>55</v>
      </c>
    </row>
    <row r="14" customFormat="false" ht="15" hidden="false" customHeight="false" outlineLevel="0" collapsed="false">
      <c r="A14" s="3" t="s">
        <v>56</v>
      </c>
      <c r="B14" s="3" t="s">
        <v>57</v>
      </c>
      <c r="C14" s="3" t="s">
        <v>58</v>
      </c>
      <c r="D14" s="3" t="s">
        <v>57</v>
      </c>
      <c r="E14" s="3" t="s">
        <v>30</v>
      </c>
      <c r="F14" s="3" t="n">
        <v>3</v>
      </c>
      <c r="G14" s="3" t="s">
        <v>14</v>
      </c>
      <c r="H14" s="3" t="s">
        <v>42</v>
      </c>
      <c r="I14" s="3" t="s">
        <v>59</v>
      </c>
    </row>
    <row r="15" customFormat="false" ht="15" hidden="false" customHeight="false" outlineLevel="0" collapsed="false">
      <c r="A15" s="2" t="s">
        <v>60</v>
      </c>
      <c r="B15" s="2" t="s">
        <v>40</v>
      </c>
      <c r="C15" s="2" t="s">
        <v>61</v>
      </c>
      <c r="D15" s="2" t="s">
        <v>12</v>
      </c>
      <c r="E15" s="2" t="s">
        <v>13</v>
      </c>
      <c r="F15" s="2" t="n">
        <v>3</v>
      </c>
      <c r="G15" s="2" t="s">
        <v>14</v>
      </c>
      <c r="H15" s="2" t="s">
        <v>62</v>
      </c>
      <c r="I15" s="2" t="s">
        <v>63</v>
      </c>
    </row>
    <row r="16" customFormat="false" ht="15" hidden="false" customHeight="false" outlineLevel="0" collapsed="false">
      <c r="A16" s="2" t="s">
        <v>64</v>
      </c>
      <c r="B16" s="2" t="s">
        <v>40</v>
      </c>
      <c r="C16" s="2" t="s">
        <v>65</v>
      </c>
      <c r="D16" s="2" t="s">
        <v>12</v>
      </c>
      <c r="E16" s="2" t="s">
        <v>13</v>
      </c>
      <c r="F16" s="2" t="n">
        <v>3</v>
      </c>
      <c r="G16" s="2" t="s">
        <v>14</v>
      </c>
      <c r="H16" s="2" t="s">
        <v>62</v>
      </c>
      <c r="I16" s="2" t="s">
        <v>66</v>
      </c>
    </row>
    <row r="17" customFormat="false" ht="15" hidden="false" customHeight="false" outlineLevel="0" collapsed="false">
      <c r="A17" s="2" t="s">
        <v>67</v>
      </c>
      <c r="B17" s="2" t="s">
        <v>36</v>
      </c>
      <c r="C17" s="2" t="s">
        <v>68</v>
      </c>
      <c r="D17" s="2" t="s">
        <v>36</v>
      </c>
      <c r="E17" s="2" t="s">
        <v>13</v>
      </c>
      <c r="F17" s="2" t="n">
        <v>3</v>
      </c>
      <c r="G17" s="2" t="s">
        <v>14</v>
      </c>
      <c r="H17" s="2" t="s">
        <v>62</v>
      </c>
      <c r="I17" s="2" t="s">
        <v>69</v>
      </c>
    </row>
    <row r="18" customFormat="false" ht="15" hidden="false" customHeight="false" outlineLevel="0" collapsed="false">
      <c r="A18" s="3" t="s">
        <v>70</v>
      </c>
      <c r="B18" s="3" t="s">
        <v>28</v>
      </c>
      <c r="C18" s="3" t="s">
        <v>71</v>
      </c>
      <c r="D18" s="3" t="s">
        <v>12</v>
      </c>
      <c r="E18" s="3" t="s">
        <v>30</v>
      </c>
      <c r="F18" s="3" t="n">
        <v>4</v>
      </c>
      <c r="G18" s="3" t="s">
        <v>14</v>
      </c>
      <c r="H18" s="3" t="s">
        <v>62</v>
      </c>
      <c r="I18" s="3" t="s">
        <v>72</v>
      </c>
    </row>
    <row r="19" customFormat="false" ht="15" hidden="false" customHeight="false" outlineLevel="0" collapsed="false">
      <c r="A19" s="3" t="s">
        <v>73</v>
      </c>
      <c r="B19" s="3" t="s">
        <v>28</v>
      </c>
      <c r="C19" s="3" t="s">
        <v>74</v>
      </c>
      <c r="D19" s="3" t="s">
        <v>12</v>
      </c>
      <c r="E19" s="3" t="s">
        <v>30</v>
      </c>
      <c r="F19" s="3" t="n">
        <v>3</v>
      </c>
      <c r="G19" s="3" t="s">
        <v>14</v>
      </c>
      <c r="H19" s="3" t="s">
        <v>62</v>
      </c>
      <c r="I19" s="3" t="s">
        <v>75</v>
      </c>
    </row>
    <row r="20" customFormat="false" ht="15" hidden="false" customHeight="false" outlineLevel="0" collapsed="false">
      <c r="A20" s="3" t="s">
        <v>76</v>
      </c>
      <c r="B20" s="3" t="s">
        <v>77</v>
      </c>
      <c r="C20" s="3" t="s">
        <v>78</v>
      </c>
      <c r="D20" s="3" t="s">
        <v>12</v>
      </c>
      <c r="E20" s="3" t="s">
        <v>30</v>
      </c>
      <c r="F20" s="3" t="n">
        <v>4</v>
      </c>
      <c r="G20" s="3" t="s">
        <v>14</v>
      </c>
      <c r="H20" s="3" t="s">
        <v>62</v>
      </c>
      <c r="I20" s="3" t="s">
        <v>79</v>
      </c>
    </row>
    <row r="21" customFormat="false" ht="15" hidden="false" customHeight="false" outlineLevel="0" collapsed="false">
      <c r="A21" s="2" t="s">
        <v>80</v>
      </c>
      <c r="B21" s="2" t="s">
        <v>81</v>
      </c>
      <c r="C21" s="2" t="s">
        <v>82</v>
      </c>
      <c r="D21" s="2" t="s">
        <v>12</v>
      </c>
      <c r="E21" s="2" t="s">
        <v>13</v>
      </c>
      <c r="F21" s="2" t="n">
        <v>3</v>
      </c>
      <c r="G21" s="2" t="s">
        <v>14</v>
      </c>
      <c r="H21" s="2" t="s">
        <v>83</v>
      </c>
      <c r="I21" s="2" t="s">
        <v>84</v>
      </c>
    </row>
    <row r="22" customFormat="false" ht="15" hidden="false" customHeight="false" outlineLevel="0" collapsed="false">
      <c r="A22" s="2" t="s">
        <v>85</v>
      </c>
      <c r="B22" s="2" t="s">
        <v>36</v>
      </c>
      <c r="C22" s="2" t="s">
        <v>86</v>
      </c>
      <c r="D22" s="2" t="s">
        <v>36</v>
      </c>
      <c r="E22" s="2" t="s">
        <v>13</v>
      </c>
      <c r="F22" s="2" t="n">
        <v>3</v>
      </c>
      <c r="G22" s="2" t="s">
        <v>14</v>
      </c>
      <c r="H22" s="2" t="s">
        <v>83</v>
      </c>
      <c r="I22" s="2" t="s">
        <v>87</v>
      </c>
    </row>
    <row r="23" customFormat="false" ht="15" hidden="false" customHeight="false" outlineLevel="0" collapsed="false">
      <c r="A23" s="2" t="s">
        <v>88</v>
      </c>
      <c r="B23" s="2" t="s">
        <v>89</v>
      </c>
      <c r="C23" s="2" t="s">
        <v>90</v>
      </c>
      <c r="D23" s="2" t="s">
        <v>12</v>
      </c>
      <c r="E23" s="2" t="s">
        <v>13</v>
      </c>
      <c r="F23" s="2" t="n">
        <v>2</v>
      </c>
      <c r="G23" s="2" t="s">
        <v>14</v>
      </c>
      <c r="H23" s="2" t="s">
        <v>83</v>
      </c>
      <c r="I23" s="2" t="s">
        <v>91</v>
      </c>
    </row>
    <row r="24" customFormat="false" ht="15" hidden="false" customHeight="false" outlineLevel="0" collapsed="false">
      <c r="A24" s="3" t="s">
        <v>92</v>
      </c>
      <c r="B24" s="3" t="s">
        <v>93</v>
      </c>
      <c r="C24" s="3" t="s">
        <v>94</v>
      </c>
      <c r="D24" s="3" t="s">
        <v>12</v>
      </c>
      <c r="E24" s="3" t="s">
        <v>30</v>
      </c>
      <c r="F24" s="3" t="n">
        <v>5</v>
      </c>
      <c r="G24" s="3" t="s">
        <v>14</v>
      </c>
      <c r="H24" s="3" t="s">
        <v>83</v>
      </c>
      <c r="I24" s="3" t="s">
        <v>95</v>
      </c>
    </row>
    <row r="25" customFormat="false" ht="15" hidden="false" customHeight="false" outlineLevel="0" collapsed="false">
      <c r="A25" s="3" t="s">
        <v>96</v>
      </c>
      <c r="B25" s="3" t="s">
        <v>93</v>
      </c>
      <c r="C25" s="3" t="s">
        <v>97</v>
      </c>
      <c r="D25" s="3" t="s">
        <v>12</v>
      </c>
      <c r="E25" s="3" t="s">
        <v>30</v>
      </c>
      <c r="F25" s="3" t="n">
        <v>3</v>
      </c>
      <c r="G25" s="3" t="s">
        <v>14</v>
      </c>
      <c r="H25" s="3" t="s">
        <v>83</v>
      </c>
      <c r="I25" s="3" t="s">
        <v>98</v>
      </c>
    </row>
    <row r="26" customFormat="false" ht="15" hidden="false" customHeight="false" outlineLevel="0" collapsed="false">
      <c r="A26" s="3" t="s">
        <v>99</v>
      </c>
      <c r="B26" s="3" t="s">
        <v>93</v>
      </c>
      <c r="C26" s="3" t="s">
        <v>100</v>
      </c>
      <c r="D26" s="3" t="s">
        <v>12</v>
      </c>
      <c r="E26" s="3" t="s">
        <v>30</v>
      </c>
      <c r="F26" s="3" t="n">
        <v>3</v>
      </c>
      <c r="G26" s="3" t="s">
        <v>14</v>
      </c>
      <c r="H26" s="3" t="s">
        <v>83</v>
      </c>
      <c r="I26" s="3" t="s">
        <v>101</v>
      </c>
    </row>
    <row r="27" customFormat="false" ht="15" hidden="false" customHeight="false" outlineLevel="0" collapsed="false">
      <c r="A27" s="2" t="s">
        <v>102</v>
      </c>
      <c r="B27" s="2" t="s">
        <v>103</v>
      </c>
      <c r="C27" s="2" t="s">
        <v>104</v>
      </c>
      <c r="D27" s="2" t="s">
        <v>103</v>
      </c>
      <c r="E27" s="2" t="s">
        <v>13</v>
      </c>
      <c r="F27" s="2" t="n">
        <v>3</v>
      </c>
      <c r="G27" s="2" t="s">
        <v>14</v>
      </c>
      <c r="H27" s="2" t="s">
        <v>105</v>
      </c>
      <c r="I27" s="2" t="s">
        <v>106</v>
      </c>
    </row>
    <row r="28" customFormat="false" ht="15" hidden="false" customHeight="false" outlineLevel="0" collapsed="false">
      <c r="A28" s="2" t="s">
        <v>107</v>
      </c>
      <c r="B28" s="2" t="s">
        <v>103</v>
      </c>
      <c r="C28" s="2" t="s">
        <v>108</v>
      </c>
      <c r="D28" s="2" t="s">
        <v>103</v>
      </c>
      <c r="E28" s="2" t="s">
        <v>13</v>
      </c>
      <c r="F28" s="2" t="n">
        <v>2</v>
      </c>
      <c r="G28" s="2" t="s">
        <v>14</v>
      </c>
      <c r="H28" s="2" t="s">
        <v>105</v>
      </c>
      <c r="I28" s="2" t="s">
        <v>109</v>
      </c>
    </row>
    <row r="29" customFormat="false" ht="15" hidden="false" customHeight="false" outlineLevel="0" collapsed="false">
      <c r="A29" s="3" t="s">
        <v>110</v>
      </c>
      <c r="B29" s="3" t="s">
        <v>36</v>
      </c>
      <c r="C29" s="3" t="s">
        <v>111</v>
      </c>
      <c r="D29" s="3" t="s">
        <v>36</v>
      </c>
      <c r="E29" s="3" t="s">
        <v>30</v>
      </c>
      <c r="F29" s="3" t="n">
        <v>5</v>
      </c>
      <c r="G29" s="3" t="s">
        <v>14</v>
      </c>
      <c r="H29" s="3" t="s">
        <v>105</v>
      </c>
      <c r="I29" s="3" t="s">
        <v>112</v>
      </c>
    </row>
    <row r="30" customFormat="false" ht="15" hidden="false" customHeight="false" outlineLevel="0" collapsed="false">
      <c r="A30" s="3" t="s">
        <v>113</v>
      </c>
      <c r="B30" s="3" t="s">
        <v>103</v>
      </c>
      <c r="C30" s="3" t="s">
        <v>114</v>
      </c>
      <c r="D30" s="3" t="s">
        <v>103</v>
      </c>
      <c r="E30" s="3" t="s">
        <v>30</v>
      </c>
      <c r="F30" s="3" t="n">
        <v>3</v>
      </c>
      <c r="G30" s="3" t="s">
        <v>14</v>
      </c>
      <c r="H30" s="3" t="s">
        <v>105</v>
      </c>
      <c r="I30" s="3" t="s">
        <v>115</v>
      </c>
    </row>
    <row r="31" customFormat="false" ht="15" hidden="false" customHeight="false" outlineLevel="0" collapsed="false">
      <c r="A31" s="3" t="s">
        <v>116</v>
      </c>
      <c r="B31" s="3" t="s">
        <v>36</v>
      </c>
      <c r="C31" s="3" t="s">
        <v>117</v>
      </c>
      <c r="D31" s="3" t="s">
        <v>36</v>
      </c>
      <c r="E31" s="3" t="s">
        <v>30</v>
      </c>
      <c r="F31" s="3" t="n">
        <v>3</v>
      </c>
      <c r="G31" s="3" t="s">
        <v>14</v>
      </c>
      <c r="H31" s="3" t="s">
        <v>105</v>
      </c>
      <c r="I31" s="3" t="s">
        <v>118</v>
      </c>
    </row>
    <row r="32" customFormat="false" ht="15" hidden="false" customHeight="false" outlineLevel="0" collapsed="false">
      <c r="A32" s="2" t="s">
        <v>119</v>
      </c>
      <c r="B32" s="2" t="s">
        <v>120</v>
      </c>
      <c r="C32" s="2" t="s">
        <v>121</v>
      </c>
      <c r="D32" s="2" t="s">
        <v>120</v>
      </c>
      <c r="E32" s="2" t="s">
        <v>13</v>
      </c>
      <c r="F32" s="2" t="n">
        <v>2</v>
      </c>
      <c r="G32" s="2" t="s">
        <v>14</v>
      </c>
      <c r="H32" s="2" t="s">
        <v>122</v>
      </c>
      <c r="I32" s="2" t="s">
        <v>123</v>
      </c>
    </row>
    <row r="33" customFormat="false" ht="15" hidden="false" customHeight="false" outlineLevel="0" collapsed="false">
      <c r="A33" s="2" t="s">
        <v>124</v>
      </c>
      <c r="B33" s="2" t="s">
        <v>120</v>
      </c>
      <c r="C33" s="2" t="s">
        <v>125</v>
      </c>
      <c r="D33" s="2" t="s">
        <v>120</v>
      </c>
      <c r="E33" s="2" t="s">
        <v>13</v>
      </c>
      <c r="F33" s="2" t="n">
        <v>2</v>
      </c>
      <c r="G33" s="2" t="s">
        <v>14</v>
      </c>
      <c r="H33" s="2" t="s">
        <v>122</v>
      </c>
      <c r="I33" s="2" t="s">
        <v>126</v>
      </c>
    </row>
    <row r="34" customFormat="false" ht="15" hidden="false" customHeight="false" outlineLevel="0" collapsed="false">
      <c r="A34" s="2" t="s">
        <v>127</v>
      </c>
      <c r="B34" s="2" t="s">
        <v>36</v>
      </c>
      <c r="C34" s="2" t="s">
        <v>128</v>
      </c>
      <c r="D34" s="2" t="s">
        <v>36</v>
      </c>
      <c r="E34" s="2" t="s">
        <v>13</v>
      </c>
      <c r="F34" s="2" t="n">
        <v>2</v>
      </c>
      <c r="G34" s="2" t="s">
        <v>14</v>
      </c>
      <c r="H34" s="2" t="s">
        <v>122</v>
      </c>
      <c r="I34" s="2" t="s">
        <v>129</v>
      </c>
    </row>
    <row r="35" customFormat="false" ht="15" hidden="false" customHeight="false" outlineLevel="0" collapsed="false">
      <c r="A35" s="3" t="s">
        <v>130</v>
      </c>
      <c r="B35" s="3" t="s">
        <v>36</v>
      </c>
      <c r="C35" s="3" t="s">
        <v>131</v>
      </c>
      <c r="D35" s="3" t="s">
        <v>36</v>
      </c>
      <c r="E35" s="3" t="s">
        <v>30</v>
      </c>
      <c r="F35" s="3" t="n">
        <v>3</v>
      </c>
      <c r="G35" s="3" t="s">
        <v>14</v>
      </c>
      <c r="H35" s="3" t="s">
        <v>122</v>
      </c>
      <c r="I35" s="3" t="s">
        <v>132</v>
      </c>
    </row>
    <row r="36" customFormat="false" ht="15" hidden="false" customHeight="false" outlineLevel="0" collapsed="false">
      <c r="A36" s="3" t="s">
        <v>133</v>
      </c>
      <c r="B36" s="3" t="s">
        <v>24</v>
      </c>
      <c r="C36" s="3" t="s">
        <v>134</v>
      </c>
      <c r="D36" s="3" t="s">
        <v>24</v>
      </c>
      <c r="E36" s="3" t="s">
        <v>30</v>
      </c>
      <c r="F36" s="3" t="n">
        <v>1</v>
      </c>
      <c r="G36" s="3" t="s">
        <v>14</v>
      </c>
      <c r="H36" s="3" t="s">
        <v>122</v>
      </c>
      <c r="I36" s="3" t="s">
        <v>135</v>
      </c>
    </row>
    <row r="37" customFormat="false" ht="15" hidden="false" customHeight="false" outlineLevel="0" collapsed="false">
      <c r="A37" s="3" t="s">
        <v>136</v>
      </c>
      <c r="B37" s="3" t="s">
        <v>89</v>
      </c>
      <c r="C37" s="3" t="s">
        <v>137</v>
      </c>
      <c r="D37" s="3" t="s">
        <v>103</v>
      </c>
      <c r="E37" s="3" t="s">
        <v>30</v>
      </c>
      <c r="F37" s="3" t="n">
        <v>2</v>
      </c>
      <c r="G37" s="3" t="s">
        <v>14</v>
      </c>
      <c r="H37" s="3" t="s">
        <v>122</v>
      </c>
      <c r="I37" s="3" t="s">
        <v>138</v>
      </c>
    </row>
  </sheetData>
  <dataValidations count="1">
    <dataValidation allowBlank="true" errorStyle="stop" operator="between" showDropDown="false" showErrorMessage="false" showInputMessage="false" sqref="G2:G37" type="list">
      <formula1>"CẦN LÀM,ĐANG LÀM,HOÀN THÀNH"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</cols>
  <sheetData>
    <row r="1" customFormat="false" ht="15" hidden="false" customHeight="false" outlineLevel="0" collapsed="false">
      <c r="A1" s="1" t="s">
        <v>139</v>
      </c>
      <c r="B1" s="1" t="s">
        <v>140</v>
      </c>
      <c r="C1" s="1" t="s">
        <v>4</v>
      </c>
      <c r="D1" s="1" t="s">
        <v>141</v>
      </c>
      <c r="E1" s="1" t="s">
        <v>142</v>
      </c>
      <c r="F1" s="1" t="s">
        <v>143</v>
      </c>
    </row>
    <row r="2" customFormat="false" ht="15" hidden="false" customHeight="false" outlineLevel="0" collapsed="false">
      <c r="A2" s="0" t="s">
        <v>144</v>
      </c>
      <c r="B2" s="0" t="s">
        <v>145</v>
      </c>
      <c r="C2" s="0" t="s">
        <v>13</v>
      </c>
      <c r="D2" s="4" t="s">
        <v>146</v>
      </c>
      <c r="E2" s="4" t="s">
        <v>146</v>
      </c>
      <c r="F2" s="4" t="s">
        <v>146</v>
      </c>
    </row>
    <row r="3" customFormat="false" ht="15" hidden="false" customHeight="false" outlineLevel="0" collapsed="false">
      <c r="A3" s="0" t="s">
        <v>147</v>
      </c>
      <c r="B3" s="0" t="s">
        <v>145</v>
      </c>
      <c r="C3" s="0" t="s">
        <v>13</v>
      </c>
      <c r="D3" s="4" t="s">
        <v>146</v>
      </c>
      <c r="E3" s="4" t="s">
        <v>146</v>
      </c>
      <c r="F3" s="4" t="s">
        <v>146</v>
      </c>
    </row>
    <row r="4" customFormat="false" ht="15" hidden="false" customHeight="false" outlineLevel="0" collapsed="false">
      <c r="A4" s="0" t="s">
        <v>148</v>
      </c>
      <c r="B4" s="0" t="s">
        <v>145</v>
      </c>
      <c r="C4" s="0" t="s">
        <v>13</v>
      </c>
      <c r="D4" s="4" t="s">
        <v>146</v>
      </c>
      <c r="E4" s="4" t="s">
        <v>146</v>
      </c>
      <c r="F4" s="4" t="s">
        <v>146</v>
      </c>
    </row>
    <row r="5" customFormat="false" ht="15" hidden="false" customHeight="false" outlineLevel="0" collapsed="false">
      <c r="A5" s="0" t="s">
        <v>149</v>
      </c>
      <c r="B5" s="0" t="s">
        <v>150</v>
      </c>
      <c r="C5" s="0" t="s">
        <v>13</v>
      </c>
      <c r="D5" s="4" t="s">
        <v>146</v>
      </c>
      <c r="E5" s="4" t="s">
        <v>146</v>
      </c>
      <c r="F5" s="4" t="s">
        <v>146</v>
      </c>
    </row>
    <row r="6" customFormat="false" ht="15" hidden="false" customHeight="false" outlineLevel="0" collapsed="false">
      <c r="A6" s="0" t="s">
        <v>151</v>
      </c>
      <c r="B6" s="0" t="s">
        <v>150</v>
      </c>
      <c r="C6" s="0" t="s">
        <v>13</v>
      </c>
      <c r="D6" s="4" t="s">
        <v>146</v>
      </c>
      <c r="E6" s="4" t="s">
        <v>146</v>
      </c>
      <c r="F6" s="4" t="s">
        <v>146</v>
      </c>
    </row>
    <row r="7" customFormat="false" ht="15" hidden="false" customHeight="false" outlineLevel="0" collapsed="false">
      <c r="A7" s="0" t="s">
        <v>152</v>
      </c>
      <c r="B7" s="0" t="s">
        <v>150</v>
      </c>
      <c r="C7" s="0" t="s">
        <v>13</v>
      </c>
      <c r="D7" s="4" t="s">
        <v>146</v>
      </c>
      <c r="E7" s="4" t="s">
        <v>146</v>
      </c>
      <c r="F7" s="4" t="s">
        <v>146</v>
      </c>
    </row>
    <row r="8" customFormat="false" ht="15" hidden="false" customHeight="false" outlineLevel="0" collapsed="false">
      <c r="A8" s="0" t="s">
        <v>153</v>
      </c>
      <c r="B8" s="0" t="s">
        <v>150</v>
      </c>
      <c r="C8" s="0" t="s">
        <v>13</v>
      </c>
      <c r="D8" s="4" t="s">
        <v>146</v>
      </c>
      <c r="E8" s="4" t="s">
        <v>146</v>
      </c>
      <c r="F8" s="4" t="s">
        <v>146</v>
      </c>
    </row>
    <row r="9" customFormat="false" ht="15" hidden="false" customHeight="false" outlineLevel="0" collapsed="false">
      <c r="A9" s="0" t="s">
        <v>154</v>
      </c>
      <c r="B9" s="0" t="s">
        <v>150</v>
      </c>
      <c r="C9" s="0" t="s">
        <v>13</v>
      </c>
      <c r="D9" s="4" t="s">
        <v>146</v>
      </c>
      <c r="E9" s="4" t="s">
        <v>146</v>
      </c>
      <c r="F9" s="4" t="s">
        <v>146</v>
      </c>
    </row>
    <row r="10" customFormat="false" ht="15" hidden="false" customHeight="false" outlineLevel="0" collapsed="false">
      <c r="A10" s="0" t="s">
        <v>155</v>
      </c>
      <c r="B10" s="0" t="s">
        <v>150</v>
      </c>
      <c r="C10" s="0" t="s">
        <v>13</v>
      </c>
      <c r="D10" s="4" t="s">
        <v>146</v>
      </c>
      <c r="E10" s="4" t="s">
        <v>146</v>
      </c>
      <c r="F10" s="4" t="s">
        <v>146</v>
      </c>
    </row>
    <row r="11" customFormat="false" ht="15" hidden="false" customHeight="false" outlineLevel="0" collapsed="false">
      <c r="A11" s="0" t="s">
        <v>156</v>
      </c>
      <c r="B11" s="0" t="s">
        <v>28</v>
      </c>
      <c r="C11" s="0" t="s">
        <v>30</v>
      </c>
      <c r="D11" s="4" t="s">
        <v>146</v>
      </c>
      <c r="E11" s="4" t="s">
        <v>146</v>
      </c>
      <c r="F11" s="4" t="s">
        <v>146</v>
      </c>
    </row>
    <row r="12" customFormat="false" ht="15" hidden="false" customHeight="false" outlineLevel="0" collapsed="false">
      <c r="A12" s="0" t="s">
        <v>157</v>
      </c>
      <c r="B12" s="0" t="s">
        <v>28</v>
      </c>
      <c r="C12" s="0" t="s">
        <v>30</v>
      </c>
      <c r="D12" s="4" t="s">
        <v>146</v>
      </c>
      <c r="E12" s="4" t="s">
        <v>146</v>
      </c>
      <c r="F12" s="4" t="s">
        <v>146</v>
      </c>
    </row>
    <row r="13" customFormat="false" ht="15" hidden="false" customHeight="false" outlineLevel="0" collapsed="false">
      <c r="A13" s="0" t="s">
        <v>158</v>
      </c>
      <c r="B13" s="0" t="s">
        <v>28</v>
      </c>
      <c r="C13" s="0" t="s">
        <v>30</v>
      </c>
      <c r="D13" s="4" t="s">
        <v>146</v>
      </c>
      <c r="E13" s="4" t="s">
        <v>146</v>
      </c>
      <c r="F13" s="4" t="s">
        <v>146</v>
      </c>
    </row>
    <row r="14" customFormat="false" ht="15" hidden="false" customHeight="false" outlineLevel="0" collapsed="false">
      <c r="A14" s="0" t="s">
        <v>159</v>
      </c>
      <c r="B14" s="0" t="s">
        <v>28</v>
      </c>
      <c r="C14" s="0" t="s">
        <v>30</v>
      </c>
      <c r="D14" s="4" t="s">
        <v>146</v>
      </c>
      <c r="E14" s="4" t="s">
        <v>146</v>
      </c>
      <c r="F14" s="4" t="s">
        <v>146</v>
      </c>
    </row>
    <row r="15" customFormat="false" ht="15" hidden="false" customHeight="false" outlineLevel="0" collapsed="false">
      <c r="A15" s="0" t="s">
        <v>160</v>
      </c>
      <c r="B15" s="0" t="s">
        <v>28</v>
      </c>
      <c r="C15" s="0" t="s">
        <v>30</v>
      </c>
      <c r="D15" s="4" t="s">
        <v>146</v>
      </c>
      <c r="E15" s="4" t="s">
        <v>146</v>
      </c>
      <c r="F15" s="4" t="s">
        <v>146</v>
      </c>
    </row>
    <row r="16" customFormat="false" ht="15" hidden="false" customHeight="false" outlineLevel="0" collapsed="false">
      <c r="A16" s="0" t="s">
        <v>161</v>
      </c>
      <c r="B16" s="0" t="s">
        <v>28</v>
      </c>
      <c r="C16" s="0" t="s">
        <v>30</v>
      </c>
      <c r="D16" s="4" t="s">
        <v>146</v>
      </c>
      <c r="E16" s="4" t="s">
        <v>146</v>
      </c>
      <c r="F16" s="4" t="s">
        <v>146</v>
      </c>
    </row>
    <row r="17" customFormat="false" ht="15" hidden="false" customHeight="false" outlineLevel="0" collapsed="false">
      <c r="A17" s="0" t="s">
        <v>162</v>
      </c>
      <c r="B17" s="0" t="s">
        <v>28</v>
      </c>
      <c r="C17" s="0" t="s">
        <v>30</v>
      </c>
      <c r="D17" s="4" t="s">
        <v>146</v>
      </c>
      <c r="E17" s="4" t="s">
        <v>146</v>
      </c>
      <c r="F17" s="4" t="s">
        <v>146</v>
      </c>
    </row>
    <row r="18" customFormat="false" ht="15" hidden="false" customHeight="false" outlineLevel="0" collapsed="false">
      <c r="A18" s="0" t="s">
        <v>163</v>
      </c>
      <c r="B18" s="0" t="s">
        <v>28</v>
      </c>
      <c r="C18" s="0" t="s">
        <v>30</v>
      </c>
      <c r="D18" s="4" t="s">
        <v>146</v>
      </c>
      <c r="E18" s="4" t="s">
        <v>146</v>
      </c>
      <c r="F18" s="4" t="s">
        <v>146</v>
      </c>
    </row>
    <row r="19" customFormat="false" ht="15" hidden="false" customHeight="false" outlineLevel="0" collapsed="false">
      <c r="A19" s="0" t="s">
        <v>164</v>
      </c>
      <c r="B19" s="0" t="s">
        <v>28</v>
      </c>
      <c r="C19" s="0" t="s">
        <v>30</v>
      </c>
      <c r="D19" s="4" t="s">
        <v>146</v>
      </c>
      <c r="E19" s="4" t="s">
        <v>146</v>
      </c>
      <c r="F19" s="4" t="s">
        <v>146</v>
      </c>
    </row>
    <row r="20" customFormat="false" ht="15" hidden="false" customHeight="false" outlineLevel="0" collapsed="false">
      <c r="A20" s="0" t="s">
        <v>165</v>
      </c>
      <c r="B20" s="0" t="s">
        <v>166</v>
      </c>
      <c r="C20" s="0" t="s">
        <v>30</v>
      </c>
      <c r="D20" s="4" t="s">
        <v>146</v>
      </c>
      <c r="E20" s="4" t="s">
        <v>146</v>
      </c>
      <c r="F20" s="4" t="s">
        <v>146</v>
      </c>
    </row>
    <row r="21" customFormat="false" ht="15" hidden="false" customHeight="false" outlineLevel="0" collapsed="false">
      <c r="A21" s="0" t="s">
        <v>167</v>
      </c>
      <c r="B21" s="0" t="s">
        <v>166</v>
      </c>
      <c r="C21" s="0" t="s">
        <v>30</v>
      </c>
      <c r="D21" s="4" t="s">
        <v>146</v>
      </c>
      <c r="E21" s="4" t="s">
        <v>146</v>
      </c>
      <c r="F21" s="4" t="s">
        <v>146</v>
      </c>
    </row>
    <row r="22" customFormat="false" ht="15" hidden="false" customHeight="false" outlineLevel="0" collapsed="false">
      <c r="A22" s="0" t="s">
        <v>168</v>
      </c>
      <c r="B22" s="0" t="s">
        <v>166</v>
      </c>
      <c r="C22" s="0" t="s">
        <v>30</v>
      </c>
      <c r="D22" s="4" t="s">
        <v>146</v>
      </c>
      <c r="E22" s="4" t="s">
        <v>146</v>
      </c>
      <c r="F22" s="4" t="s">
        <v>146</v>
      </c>
    </row>
    <row r="23" customFormat="false" ht="15" hidden="false" customHeight="false" outlineLevel="0" collapsed="false">
      <c r="A23" s="0" t="s">
        <v>169</v>
      </c>
      <c r="B23" s="0" t="s">
        <v>166</v>
      </c>
      <c r="C23" s="0" t="s">
        <v>30</v>
      </c>
      <c r="D23" s="4" t="s">
        <v>146</v>
      </c>
      <c r="E23" s="4" t="s">
        <v>146</v>
      </c>
      <c r="F23" s="4" t="s">
        <v>146</v>
      </c>
    </row>
    <row r="24" customFormat="false" ht="15" hidden="false" customHeight="false" outlineLevel="0" collapsed="false">
      <c r="A24" s="0" t="s">
        <v>170</v>
      </c>
      <c r="B24" s="0" t="s">
        <v>171</v>
      </c>
      <c r="C24" s="0" t="s">
        <v>13</v>
      </c>
      <c r="D24" s="4" t="s">
        <v>146</v>
      </c>
      <c r="E24" s="4" t="s">
        <v>146</v>
      </c>
      <c r="F24" s="4" t="s">
        <v>146</v>
      </c>
    </row>
    <row r="25" customFormat="false" ht="15" hidden="false" customHeight="false" outlineLevel="0" collapsed="false">
      <c r="A25" s="0" t="s">
        <v>172</v>
      </c>
      <c r="B25" s="0" t="s">
        <v>171</v>
      </c>
      <c r="C25" s="0" t="s">
        <v>13</v>
      </c>
      <c r="D25" s="4" t="s">
        <v>146</v>
      </c>
      <c r="E25" s="4" t="s">
        <v>146</v>
      </c>
      <c r="F25" s="4" t="s">
        <v>146</v>
      </c>
    </row>
    <row r="26" customFormat="false" ht="15" hidden="false" customHeight="false" outlineLevel="0" collapsed="false">
      <c r="A26" s="0" t="s">
        <v>173</v>
      </c>
      <c r="B26" s="0" t="s">
        <v>171</v>
      </c>
      <c r="C26" s="0" t="s">
        <v>13</v>
      </c>
      <c r="D26" s="4" t="s">
        <v>146</v>
      </c>
      <c r="E26" s="4" t="s">
        <v>146</v>
      </c>
      <c r="F26" s="4" t="s">
        <v>146</v>
      </c>
    </row>
    <row r="27" customFormat="false" ht="15" hidden="false" customHeight="false" outlineLevel="0" collapsed="false">
      <c r="A27" s="0" t="s">
        <v>174</v>
      </c>
      <c r="B27" s="0" t="s">
        <v>171</v>
      </c>
      <c r="C27" s="0" t="s">
        <v>13</v>
      </c>
      <c r="D27" s="4" t="s">
        <v>146</v>
      </c>
      <c r="E27" s="4" t="s">
        <v>146</v>
      </c>
      <c r="F27" s="4" t="s">
        <v>146</v>
      </c>
    </row>
    <row r="28" customFormat="false" ht="15" hidden="false" customHeight="false" outlineLevel="0" collapsed="false">
      <c r="A28" s="0" t="s">
        <v>175</v>
      </c>
      <c r="B28" s="0" t="s">
        <v>176</v>
      </c>
      <c r="C28" s="0" t="s">
        <v>177</v>
      </c>
      <c r="D28" s="4" t="s">
        <v>146</v>
      </c>
      <c r="E28" s="4" t="s">
        <v>146</v>
      </c>
      <c r="F28" s="4" t="s">
        <v>146</v>
      </c>
    </row>
    <row r="29" customFormat="false" ht="15" hidden="false" customHeight="false" outlineLevel="0" collapsed="false">
      <c r="A29" s="0" t="s">
        <v>178</v>
      </c>
      <c r="B29" s="0" t="s">
        <v>179</v>
      </c>
      <c r="C29" s="0" t="s">
        <v>177</v>
      </c>
      <c r="D29" s="4" t="s">
        <v>146</v>
      </c>
      <c r="E29" s="4" t="s">
        <v>146</v>
      </c>
      <c r="F29" s="4" t="s">
        <v>146</v>
      </c>
    </row>
    <row r="30" customFormat="false" ht="15" hidden="false" customHeight="false" outlineLevel="0" collapsed="false">
      <c r="A30" s="0" t="s">
        <v>180</v>
      </c>
      <c r="B30" s="0" t="s">
        <v>181</v>
      </c>
      <c r="C30" s="0" t="s">
        <v>177</v>
      </c>
      <c r="D30" s="4" t="s">
        <v>146</v>
      </c>
      <c r="E30" s="4" t="s">
        <v>146</v>
      </c>
      <c r="F30" s="4" t="s">
        <v>146</v>
      </c>
    </row>
    <row r="31" customFormat="false" ht="15" hidden="false" customHeight="false" outlineLevel="0" collapsed="false">
      <c r="A31" s="0" t="s">
        <v>182</v>
      </c>
      <c r="B31" s="0" t="s">
        <v>183</v>
      </c>
      <c r="C31" s="0" t="s">
        <v>177</v>
      </c>
      <c r="D31" s="4" t="s">
        <v>146</v>
      </c>
      <c r="E31" s="4" t="s">
        <v>146</v>
      </c>
      <c r="F31" s="4" t="s">
        <v>146</v>
      </c>
    </row>
    <row r="32" customFormat="false" ht="15" hidden="false" customHeight="false" outlineLevel="0" collapsed="false">
      <c r="A32" s="0" t="s">
        <v>184</v>
      </c>
      <c r="B32" s="0" t="s">
        <v>181</v>
      </c>
      <c r="C32" s="0" t="s">
        <v>177</v>
      </c>
      <c r="D32" s="4" t="s">
        <v>146</v>
      </c>
      <c r="E32" s="4" t="s">
        <v>146</v>
      </c>
      <c r="F32" s="4" t="s">
        <v>146</v>
      </c>
    </row>
    <row r="33" customFormat="false" ht="15" hidden="false" customHeight="false" outlineLevel="0" collapsed="false">
      <c r="A33" s="0" t="s">
        <v>185</v>
      </c>
      <c r="B33" s="0" t="s">
        <v>181</v>
      </c>
      <c r="C33" s="0" t="s">
        <v>13</v>
      </c>
      <c r="D33" s="4" t="s">
        <v>146</v>
      </c>
      <c r="E33" s="4" t="s">
        <v>146</v>
      </c>
      <c r="F33" s="4" t="s">
        <v>146</v>
      </c>
    </row>
  </sheetData>
  <dataValidations count="1">
    <dataValidation allowBlank="true" errorStyle="stop" operator="between" showDropDown="false" showErrorMessage="false" showInputMessage="false" sqref="D2:F33" type="list">
      <formula1>"Có,Chưa"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0"/>
  </cols>
  <sheetData>
    <row r="1" customFormat="false" ht="15" hidden="false" customHeight="false" outlineLevel="0" collapsed="false">
      <c r="A1" s="1" t="s">
        <v>186</v>
      </c>
      <c r="B1" s="1" t="s">
        <v>13</v>
      </c>
      <c r="C1" s="1" t="s">
        <v>30</v>
      </c>
    </row>
    <row r="2" customFormat="false" ht="15" hidden="false" customHeight="false" outlineLevel="0" collapsed="false">
      <c r="A2" s="0" t="s">
        <v>187</v>
      </c>
      <c r="B2" s="0" t="n">
        <f aca="false">COUNTIF('Theo Dõi Công Việc'!E:E,"THÀNH VIÊN A")</f>
        <v>19</v>
      </c>
      <c r="C2" s="0" t="n">
        <f aca="false">COUNTIF('Theo Dõi Công Việc'!E:E,"THÀNH VIÊN B")</f>
        <v>17</v>
      </c>
    </row>
    <row r="3" customFormat="false" ht="15" hidden="false" customHeight="false" outlineLevel="0" collapsed="false">
      <c r="A3" s="0" t="s">
        <v>188</v>
      </c>
      <c r="B3" s="0" t="n">
        <f aca="false">SUMIF('Theo Dõi Công Việc'!E:E,"THÀNH VIÊN A",'Theo Dõi Công Việc'!F:F)</f>
        <v>52</v>
      </c>
      <c r="C3" s="0" t="n">
        <f aca="false">SUMIF('Theo Dõi Công Việc'!E:E,"THÀNH VIÊN B",'Theo Dõi Công Việc'!F:F)</f>
        <v>56</v>
      </c>
    </row>
    <row r="4" customFormat="false" ht="15" hidden="false" customHeight="false" outlineLevel="0" collapsed="false">
      <c r="A4" s="0" t="s">
        <v>189</v>
      </c>
      <c r="B4" s="0" t="n">
        <f aca="false">COUNTIFS('Theo Dõi Công Việc'!E:E,"THÀNH VIÊN A",'Theo Dõi Công Việc'!G:G,"HOÀN THÀNH")</f>
        <v>0</v>
      </c>
      <c r="C4" s="0" t="n">
        <f aca="false">COUNTIFS('Theo Dõi Công Việc'!E:E,"THÀNH VIÊN B",'Theo Dõi Công Việc'!G:G,"HOÀN THÀNH")</f>
        <v>0</v>
      </c>
    </row>
    <row r="5" customFormat="false" ht="15" hidden="false" customHeight="false" outlineLevel="0" collapsed="false">
      <c r="A5" s="0" t="s">
        <v>190</v>
      </c>
      <c r="B5" s="5" t="n">
        <f aca="false">B3/(B3+C3)</f>
        <v>0.481481481481481</v>
      </c>
      <c r="C5" s="5" t="n">
        <f aca="false">C3/(B3+C3)</f>
        <v>0.518518518518519</v>
      </c>
    </row>
    <row r="7" customFormat="false" ht="15" hidden="false" customHeight="false" outlineLevel="0" collapsed="false">
      <c r="A7" s="0" t="s">
        <v>191</v>
      </c>
      <c r="B7" s="5" t="n">
        <f aca="false">ABS(B4-C4)</f>
        <v>0</v>
      </c>
    </row>
    <row r="8" customFormat="false" ht="15" hidden="false" customHeight="false" outlineLevel="0" collapsed="false">
      <c r="A8" s="0" t="s">
        <v>192</v>
      </c>
      <c r="B8" s="0" t="str">
        <f aca="false">IF(B6&lt;=0.05,"✅ CÂN BẰNG",IF(B6&lt;=0.1,"⚠️ HƠI LỆCH","❌ LỆCH NHIỀU – CẦN ĐIỀU CHỈNH"))</f>
        <v>✅ CÂN BẰNG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2026-10-01T19:10:22Z</dcterms:created>
  <dc:creator>openpyxl</dc:creator>
  <dc:description/>
  <dc:language>en-US</dc:language>
  <cp:lastModifiedBy/>
  <dcterms:modified xsi:type="dcterms:W3CDTF">2026-10-02T04:48:36Z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