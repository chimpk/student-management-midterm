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 Dõi Công Việc" sheetId="1" state="visible" r:id="rId1"/>
    <sheet xmlns:r="http://schemas.openxmlformats.org/officeDocument/2006/relationships" name="Kiểm Tra Yêu Cầu" sheetId="2" state="visible" r:id="rId2"/>
    <sheet xmlns:r="http://schemas.openxmlformats.org/officeDocument/2006/relationships" name="Phân Bổ Khối Lượ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sz val="11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12" customWidth="1" min="4" max="4"/>
    <col width="18" customWidth="1" min="5" max="5"/>
    <col width="13" customWidth="1" min="6" max="6"/>
    <col width="14" customWidth="1" min="7" max="7"/>
    <col width="13" customWidth="1" min="8" max="8"/>
    <col width="48" customWidth="1" min="9" max="9"/>
  </cols>
  <sheetData>
    <row r="1">
      <c r="A1" s="10" t="inlineStr">
        <is>
          <t>Task ID</t>
        </is>
      </c>
      <c r="B1" s="10" t="inlineStr">
        <is>
          <t>Hạng mục yêu cầu</t>
        </is>
      </c>
      <c r="C1" s="10" t="inlineStr">
        <is>
          <t>Công việc chi tiết</t>
        </is>
      </c>
      <c r="D1" s="10" t="inlineStr">
        <is>
          <t>Loại việc</t>
        </is>
      </c>
      <c r="E1" s="10" t="inlineStr">
        <is>
          <t>Người thực hiện</t>
        </is>
      </c>
      <c r="F1" s="10" t="inlineStr">
        <is>
          <t>Hạn chót</t>
        </is>
      </c>
      <c r="G1" s="10" t="inlineStr">
        <is>
          <t>Giờ dự kiến</t>
        </is>
      </c>
      <c r="H1" s="10" t="inlineStr">
        <is>
          <t>Trạng thái</t>
        </is>
      </c>
      <c r="I1" s="10" t="inlineStr">
        <is>
          <t>Ghi chú &amp; Sản phẩm</t>
        </is>
      </c>
    </row>
    <row r="2">
      <c r="A2" s="2" t="inlineStr">
        <is>
          <t>T01</t>
        </is>
      </c>
      <c r="B2" s="11" t="inlineStr">
        <is>
          <t>FR-ACC-01 / TC-01, 02</t>
        </is>
      </c>
      <c r="C2" s="11" t="inlineStr">
        <is>
          <t>Cấu hình Firebase Auth &amp; dự án</t>
        </is>
      </c>
      <c r="D2" s="2" t="inlineStr">
        <is>
          <t>Code</t>
        </is>
      </c>
      <c r="E2" s="2" t="inlineStr">
        <is>
          <t>THÀNH VIÊN A</t>
        </is>
      </c>
      <c r="F2" s="2" t="inlineStr">
        <is>
          <t>2026-10-10</t>
        </is>
      </c>
      <c r="G2" s="2" t="n">
        <v>3</v>
      </c>
      <c r="H2" s="2" t="inlineStr">
        <is>
          <t>CẦN LÀM</t>
        </is>
      </c>
      <c r="I2" s="11" t="inlineStr">
        <is>
          <t>FirebaseClient.java, AuthRepository.java - google-services.json, bật Auth</t>
        </is>
      </c>
    </row>
    <row r="3">
      <c r="A3" s="2" t="inlineStr">
        <is>
          <t>T02</t>
        </is>
      </c>
      <c r="B3" s="11" t="inlineStr">
        <is>
          <t>FR-ACC-01 / TC-01, 02</t>
        </is>
      </c>
      <c r="C3" s="11" t="inlineStr">
        <is>
          <t>Màn hình đăng nhập + kiểm tra dữ liệu</t>
        </is>
      </c>
      <c r="D3" s="2" t="inlineStr">
        <is>
          <t>Code</t>
        </is>
      </c>
      <c r="E3" s="2" t="inlineStr">
        <is>
          <t>THÀNH VIÊN A</t>
        </is>
      </c>
      <c r="F3" s="2" t="inlineStr">
        <is>
          <t>2026-10-10</t>
        </is>
      </c>
      <c r="G3" s="2" t="n">
        <v>4</v>
      </c>
      <c r="H3" s="2" t="inlineStr">
        <is>
          <t>CẦN LÀM</t>
        </is>
      </c>
      <c r="I3" s="11" t="inlineStr">
        <is>
          <t>LoginActivity.java, activity_login.xml - Email/mật khẩu, xử lý lỗi</t>
        </is>
      </c>
    </row>
    <row r="4">
      <c r="A4" s="2" t="inlineStr">
        <is>
          <t>T03</t>
        </is>
      </c>
      <c r="B4" s="11" t="inlineStr">
        <is>
          <t>FR-ACC-01 / TC-01</t>
        </is>
      </c>
      <c r="C4" s="11" t="inlineStr">
        <is>
          <t>Điều hướng theo vai trò sau đăng nhập</t>
        </is>
      </c>
      <c r="D4" s="2" t="inlineStr">
        <is>
          <t>Code</t>
        </is>
      </c>
      <c r="E4" s="2" t="inlineStr">
        <is>
          <t>THÀNH VIÊN A</t>
        </is>
      </c>
      <c r="F4" s="2" t="inlineStr">
        <is>
          <t>2026-10-10</t>
        </is>
      </c>
      <c r="G4" s="2" t="n">
        <v>3</v>
      </c>
      <c r="H4" s="2" t="inlineStr">
        <is>
          <t>CẦN LÀM</t>
        </is>
      </c>
      <c r="I4" s="11" t="inlineStr">
        <is>
          <t>MainActivity.java, nav_graph - Truy vấn vai trò từ Firestore</t>
        </is>
      </c>
    </row>
    <row r="5">
      <c r="A5" s="2" t="inlineStr">
        <is>
          <t>T04</t>
        </is>
      </c>
      <c r="B5" s="11" t="inlineStr">
        <is>
          <t>FR-STU-01 / TC-09, 21</t>
        </is>
      </c>
      <c r="C5" s="11" t="inlineStr">
        <is>
          <t>Màn hình danh sách sinh viên + RecyclerView realtime</t>
        </is>
      </c>
      <c r="D5" s="2" t="inlineStr">
        <is>
          <t>Code</t>
        </is>
      </c>
      <c r="E5" s="2" t="inlineStr">
        <is>
          <t>THÀNH VIÊN B</t>
        </is>
      </c>
      <c r="F5" s="2" t="inlineStr">
        <is>
          <t>2026-10-10</t>
        </is>
      </c>
      <c r="G5" s="2" t="n">
        <v>5</v>
      </c>
      <c r="H5" s="2" t="inlineStr">
        <is>
          <t>CẦN LÀM</t>
        </is>
      </c>
      <c r="I5" s="11" t="inlineStr">
        <is>
          <t>StudentListFragment.java, StudentAdapter.java - addSnapshotListener thời gian thực</t>
        </is>
      </c>
    </row>
    <row r="6">
      <c r="A6" s="2" t="inlineStr">
        <is>
          <t>T05</t>
        </is>
      </c>
      <c r="B6" s="11" t="inlineStr">
        <is>
          <t>FR-USR-01..04 / TC-05..07</t>
        </is>
      </c>
      <c r="C6" s="11" t="inlineStr">
        <is>
          <t>Danh sách người dùng + thêm/sửa/xóa (Admin)</t>
        </is>
      </c>
      <c r="D6" s="2" t="inlineStr">
        <is>
          <t>Code</t>
        </is>
      </c>
      <c r="E6" s="2" t="inlineStr">
        <is>
          <t>THÀNH VIÊN A</t>
        </is>
      </c>
      <c r="F6" s="2" t="inlineStr">
        <is>
          <t>2026-10-17</t>
        </is>
      </c>
      <c r="G6" s="2" t="n">
        <v>5</v>
      </c>
      <c r="H6" s="2" t="inlineStr">
        <is>
          <t>CẦN LÀM</t>
        </is>
      </c>
      <c r="I6" s="11" t="inlineStr">
        <is>
          <t>UserListFragment.java, UserEditFragment.java - Phân quyền Admin quản trị</t>
        </is>
      </c>
    </row>
    <row r="7">
      <c r="A7" s="2" t="inlineStr">
        <is>
          <t>T06</t>
        </is>
      </c>
      <c r="B7" s="11" t="inlineStr">
        <is>
          <t>FR-USR-05 / TC-03, 08</t>
        </is>
      </c>
      <c r="C7" s="11" t="inlineStr">
        <is>
          <t>Khóa/mở khóa người dùng + chặn đăng nhập</t>
        </is>
      </c>
      <c r="D7" s="2" t="inlineStr">
        <is>
          <t>Code</t>
        </is>
      </c>
      <c r="E7" s="2" t="inlineStr">
        <is>
          <t>THÀNH VIÊN A</t>
        </is>
      </c>
      <c r="F7" s="2" t="inlineStr">
        <is>
          <t>2026-10-17</t>
        </is>
      </c>
      <c r="G7" s="2" t="n">
        <v>3</v>
      </c>
      <c r="H7" s="2" t="inlineStr">
        <is>
          <t>CẦN LÀM</t>
        </is>
      </c>
      <c r="I7" s="11" t="inlineStr">
        <is>
          <t>UserRepository.java, LoginActivity.java - Chặn status Locked thời gian thực</t>
        </is>
      </c>
    </row>
    <row r="8">
      <c r="A8" s="2" t="inlineStr">
        <is>
          <t>T07</t>
        </is>
      </c>
      <c r="B8" s="11" t="inlineStr">
        <is>
          <t>FR-ACC-02 / TC-04</t>
        </is>
      </c>
      <c r="C8" s="11" t="inlineStr">
        <is>
          <t>Tải ảnh đại diện cá nhân (đổi avatar)</t>
        </is>
      </c>
      <c r="D8" s="2" t="inlineStr">
        <is>
          <t>Code</t>
        </is>
      </c>
      <c r="E8" s="2" t="inlineStr">
        <is>
          <t>THÀNH VIÊN A</t>
        </is>
      </c>
      <c r="F8" s="2" t="inlineStr">
        <is>
          <t>2026-10-17</t>
        </is>
      </c>
      <c r="G8" s="2" t="n">
        <v>3</v>
      </c>
      <c r="H8" s="2" t="inlineStr">
        <is>
          <t>CẦN LÀM</t>
        </is>
      </c>
      <c r="I8" s="11" t="inlineStr">
        <is>
          <t>ProfileFragment.java, storage.rules - Firebase Storage avatars/{uid}.jpg</t>
        </is>
      </c>
    </row>
    <row r="9">
      <c r="A9" s="2" t="inlineStr">
        <is>
          <t>T08</t>
        </is>
      </c>
      <c r="B9" s="11" t="inlineStr">
        <is>
          <t>FR-STU-02..04 / TC-09, 25</t>
        </is>
      </c>
      <c r="C9" s="11" t="inlineStr">
        <is>
          <t>Thêm/sửa/xóa sinh viên + cascade delete chứng chỉ</t>
        </is>
      </c>
      <c r="D9" s="2" t="inlineStr">
        <is>
          <t>Code</t>
        </is>
      </c>
      <c r="E9" s="2" t="inlineStr">
        <is>
          <t>THÀNH VIÊN B</t>
        </is>
      </c>
      <c r="F9" s="2" t="inlineStr">
        <is>
          <t>2026-10-17</t>
        </is>
      </c>
      <c r="G9" s="2" t="n">
        <v>5</v>
      </c>
      <c r="H9" s="2" t="inlineStr">
        <is>
          <t>CẦN LÀM</t>
        </is>
      </c>
      <c r="I9" s="11" t="inlineStr">
        <is>
          <t>StudentRepository.java, StudentEditFragment.java - Xóa sạch subcollection chứng chỉ</t>
        </is>
      </c>
    </row>
    <row r="10">
      <c r="A10" s="2" t="inlineStr">
        <is>
          <t>T09</t>
        </is>
      </c>
      <c r="B10" s="11" t="inlineStr">
        <is>
          <t>FR-STU-01 / TC-09</t>
        </is>
      </c>
      <c r="C10" s="11" t="inlineStr">
        <is>
          <t>Màn hình chi tiết sinh viên</t>
        </is>
      </c>
      <c r="D10" s="2" t="inlineStr">
        <is>
          <t>Code</t>
        </is>
      </c>
      <c r="E10" s="2" t="inlineStr">
        <is>
          <t>THÀNH VIÊN B</t>
        </is>
      </c>
      <c r="F10" s="2" t="inlineStr">
        <is>
          <t>2026-10-17</t>
        </is>
      </c>
      <c r="G10" s="2" t="n">
        <v>3</v>
      </c>
      <c r="H10" s="2" t="inlineStr">
        <is>
          <t>CẦN LÀM</t>
        </is>
      </c>
      <c r="I10" s="11" t="inlineStr">
        <is>
          <t>StudentDetailFragment.java, fragment_student_detail.xml - Hiển thị sinh viên và danh sách chứng chỉ</t>
        </is>
      </c>
    </row>
    <row r="11">
      <c r="A11" s="2" t="inlineStr">
        <is>
          <t>T10</t>
        </is>
      </c>
      <c r="B11" s="11" t="inlineStr">
        <is>
          <t>FR-USR-06 / TC-22, 23</t>
        </is>
      </c>
      <c r="C11" s="11" t="inlineStr">
        <is>
          <t>Lịch sử đăng nhập: ghi lại + xem theo người dùng</t>
        </is>
      </c>
      <c r="D11" s="2" t="inlineStr">
        <is>
          <t>Code</t>
        </is>
      </c>
      <c r="E11" s="2" t="inlineStr">
        <is>
          <t>THÀNH VIÊN A</t>
        </is>
      </c>
      <c r="F11" s="2" t="inlineStr">
        <is>
          <t>2026-10-24</t>
        </is>
      </c>
      <c r="G11" s="2" t="n">
        <v>3</v>
      </c>
      <c r="H11" s="2" t="inlineStr">
        <is>
          <t>CẦN LÀM</t>
        </is>
      </c>
      <c r="I11" s="11" t="inlineStr">
        <is>
          <t>LoginHistoryFragment.java, LoginRecordAdapter.java - Subcollection users/{uid}/loginHistory</t>
        </is>
      </c>
    </row>
    <row r="12">
      <c r="A12" s="2" t="inlineStr">
        <is>
          <t>T11</t>
        </is>
      </c>
      <c r="B12" s="11" t="inlineStr">
        <is>
          <t>FR-SEC / TC-07, 10, 15</t>
        </is>
      </c>
      <c r="C12" s="11" t="inlineStr">
        <is>
          <t>Bảo mật Firestore &amp; Storage Rules (RBAC 3 vai trò)</t>
        </is>
      </c>
      <c r="D12" s="2" t="inlineStr">
        <is>
          <t>Code</t>
        </is>
      </c>
      <c r="E12" s="2" t="inlineStr">
        <is>
          <t>THÀNH VIÊN A</t>
        </is>
      </c>
      <c r="F12" s="2" t="inlineStr">
        <is>
          <t>2026-10-24</t>
        </is>
      </c>
      <c r="G12" s="2" t="n">
        <v>4</v>
      </c>
      <c r="H12" s="2" t="inlineStr">
        <is>
          <t>CẦN LÀM</t>
        </is>
      </c>
      <c r="I12" s="11" t="inlineStr">
        <is>
          <t>firestore.rules, storage.rules - Bắt buộc B review chéo</t>
        </is>
      </c>
    </row>
    <row r="13">
      <c r="A13" s="2" t="inlineStr">
        <is>
          <t>T12</t>
        </is>
      </c>
      <c r="B13" s="11" t="inlineStr">
        <is>
          <t>FR-STU-05 / TC-11, 12</t>
        </is>
      </c>
      <c r="C13" s="11" t="inlineStr">
        <is>
          <t>Tìm kiếm thời gian thực (tiếng Việt có dấu)</t>
        </is>
      </c>
      <c r="D13" s="2" t="inlineStr">
        <is>
          <t>Code</t>
        </is>
      </c>
      <c r="E13" s="2" t="inlineStr">
        <is>
          <t>THÀNH VIÊN B</t>
        </is>
      </c>
      <c r="F13" s="2" t="inlineStr">
        <is>
          <t>2026-10-24</t>
        </is>
      </c>
      <c r="G13" s="2" t="n">
        <v>4</v>
      </c>
      <c r="H13" s="2" t="inlineStr">
        <is>
          <t>CẦN LÀM</t>
        </is>
      </c>
      <c r="I13" s="11" t="inlineStr">
        <is>
          <t>StudentViewModel.java, StudentListFragment.java - Lọc realtime trên snapshot</t>
        </is>
      </c>
    </row>
    <row r="14">
      <c r="A14" s="2" t="inlineStr">
        <is>
          <t>T13</t>
        </is>
      </c>
      <c r="B14" s="11" t="inlineStr">
        <is>
          <t>FR-STU-06 / TC-13</t>
        </is>
      </c>
      <c r="C14" s="11" t="inlineStr">
        <is>
          <t>Sắp xếp đa tiêu chí (Tên A-Z, GPA, Ngày sinh)</t>
        </is>
      </c>
      <c r="D14" s="2" t="inlineStr">
        <is>
          <t>Code</t>
        </is>
      </c>
      <c r="E14" s="2" t="inlineStr">
        <is>
          <t>THÀNH VIÊN B</t>
        </is>
      </c>
      <c r="F14" s="2" t="inlineStr">
        <is>
          <t>2026-10-24</t>
        </is>
      </c>
      <c r="G14" s="2" t="n">
        <v>3</v>
      </c>
      <c r="H14" s="2" t="inlineStr">
        <is>
          <t>CẦN LÀM</t>
        </is>
      </c>
      <c r="I14" s="11" t="inlineStr">
        <is>
          <t>StudentViewModel.java, Vietnamese Collator - Xử lý phía client</t>
        </is>
      </c>
    </row>
    <row r="15">
      <c r="A15" s="2" t="inlineStr">
        <is>
          <t>T14</t>
        </is>
      </c>
      <c r="B15" s="11" t="inlineStr">
        <is>
          <t>FR-CER-01..04 / TC-14, 15</t>
        </is>
      </c>
      <c r="C15" s="11" t="inlineStr">
        <is>
          <t>CRUD chứng chỉ trong chi tiết sinh viên</t>
        </is>
      </c>
      <c r="D15" s="2" t="inlineStr">
        <is>
          <t>Code</t>
        </is>
      </c>
      <c r="E15" s="2" t="inlineStr">
        <is>
          <t>THÀNH VIÊN B</t>
        </is>
      </c>
      <c r="F15" s="2" t="inlineStr">
        <is>
          <t>2026-10-24</t>
        </is>
      </c>
      <c r="G15" s="2" t="n">
        <v>4</v>
      </c>
      <c r="H15" s="2" t="inlineStr">
        <is>
          <t>CẦN LÀM</t>
        </is>
      </c>
      <c r="I15" s="11" t="inlineStr">
        <is>
          <t>CertificateRepository.java, CertificateEditFragment.java - Subcollection students/{id}/certificates</t>
        </is>
      </c>
    </row>
    <row r="16">
      <c r="A16" s="2" t="inlineStr">
        <is>
          <t>T15</t>
        </is>
      </c>
      <c r="B16" s="11" t="inlineStr">
        <is>
          <t>NFR-UI</t>
        </is>
      </c>
      <c r="C16" s="11" t="inlineStr">
        <is>
          <t>Hoàn thiện UI: theme, dark mode, skeleton loading, haptics</t>
        </is>
      </c>
      <c r="D16" s="2" t="inlineStr">
        <is>
          <t>Code</t>
        </is>
      </c>
      <c r="E16" s="2" t="inlineStr">
        <is>
          <t>THÀNH VIÊN A</t>
        </is>
      </c>
      <c r="F16" s="2" t="inlineStr">
        <is>
          <t>2026-10-31</t>
        </is>
      </c>
      <c r="G16" s="2" t="n">
        <v>4</v>
      </c>
      <c r="H16" s="2" t="inlineStr">
        <is>
          <t>CẦN LÀM</t>
        </is>
      </c>
      <c r="I16" s="11" t="inlineStr">
        <is>
          <t>ThemeManager.java, HapticFeedbackHelper.java - Material 3 design</t>
        </is>
      </c>
    </row>
    <row r="17">
      <c r="A17" s="2" t="inlineStr">
        <is>
          <t>T16</t>
        </is>
      </c>
      <c r="B17" s="11" t="inlineStr">
        <is>
          <t>NFR-REL / TC-03</t>
        </is>
      </c>
      <c r="C17" s="11" t="inlineStr">
        <is>
          <t>Xử lý ngoại lệ, mất mạng (Offline resilience) &amp; Thông báo</t>
        </is>
      </c>
      <c r="D17" s="2" t="inlineStr">
        <is>
          <t>Code</t>
        </is>
      </c>
      <c r="E17" s="2" t="inlineStr">
        <is>
          <t>THÀNH VIÊN A</t>
        </is>
      </c>
      <c r="F17" s="2" t="inlineStr">
        <is>
          <t>2026-10-31</t>
        </is>
      </c>
      <c r="G17" s="2" t="n">
        <v>3</v>
      </c>
      <c r="H17" s="2" t="inlineStr">
        <is>
          <t>CẦN LÀM</t>
        </is>
      </c>
      <c r="I17" s="11" t="inlineStr">
        <is>
          <t>UiNotificationHelper.java, Firestore Cache - Cache cục bộ, badge offline</t>
        </is>
      </c>
    </row>
    <row r="18">
      <c r="A18" s="2" t="inlineStr">
        <is>
          <t>T17</t>
        </is>
      </c>
      <c r="B18" s="11" t="inlineStr">
        <is>
          <t>FR-IO-01 / TC-16, 17, 24</t>
        </is>
      </c>
      <c r="C18" s="11" t="inlineStr">
        <is>
          <t>Import CSV sinh viên (UTF-8 BOM, chunked WriteBatch &gt;500)</t>
        </is>
      </c>
      <c r="D18" s="2" t="inlineStr">
        <is>
          <t>Code</t>
        </is>
      </c>
      <c r="E18" s="2" t="inlineStr">
        <is>
          <t>THÀNH VIÊN B</t>
        </is>
      </c>
      <c r="F18" s="2" t="inlineStr">
        <is>
          <t>2026-10-31</t>
        </is>
      </c>
      <c r="G18" s="2" t="n">
        <v>5</v>
      </c>
      <c r="H18" s="2" t="inlineStr">
        <is>
          <t>CẦN LÀM</t>
        </is>
      </c>
      <c r="I18" s="11" t="inlineStr">
        <is>
          <t>CsvHelper.java, ImportExportFragment.java - Xử lý batch 400 docs/lần</t>
        </is>
      </c>
    </row>
    <row r="19">
      <c r="A19" s="2" t="inlineStr">
        <is>
          <t>T18</t>
        </is>
      </c>
      <c r="B19" s="11" t="inlineStr">
        <is>
          <t>FR-IO-02 / TC-19</t>
        </is>
      </c>
      <c r="C19" s="11" t="inlineStr">
        <is>
          <t>Export CSV sinh viên ra bộ nhớ qua SAF (UTF-8 BOM)</t>
        </is>
      </c>
      <c r="D19" s="2" t="inlineStr">
        <is>
          <t>Code</t>
        </is>
      </c>
      <c r="E19" s="2" t="inlineStr">
        <is>
          <t>THÀNH VIÊN B</t>
        </is>
      </c>
      <c r="F19" s="2" t="inlineStr">
        <is>
          <t>2026-10-31</t>
        </is>
      </c>
      <c r="G19" s="2" t="n">
        <v>3</v>
      </c>
      <c r="H19" s="2" t="inlineStr">
        <is>
          <t>CẦN LÀM</t>
        </is>
      </c>
      <c r="I19" s="11" t="inlineStr">
        <is>
          <t>CsvHelper.java, SAF Intent - Xuất file CSV mở Excel không lỗi font</t>
        </is>
      </c>
    </row>
    <row r="20">
      <c r="A20" s="2" t="inlineStr">
        <is>
          <t>T19</t>
        </is>
      </c>
      <c r="B20" s="11" t="inlineStr">
        <is>
          <t>FR-IO-03 / TC-27</t>
        </is>
      </c>
      <c r="C20" s="11" t="inlineStr">
        <is>
          <t>Import CSV chứng chỉ theo MSSV sinh viên</t>
        </is>
      </c>
      <c r="D20" s="2" t="inlineStr">
        <is>
          <t>Code</t>
        </is>
      </c>
      <c r="E20" s="2" t="inlineStr">
        <is>
          <t>THÀNH VIÊN B</t>
        </is>
      </c>
      <c r="F20" s="2" t="inlineStr">
        <is>
          <t>2026-10-31</t>
        </is>
      </c>
      <c r="G20" s="2" t="n">
        <v>3</v>
      </c>
      <c r="H20" s="2" t="inlineStr">
        <is>
          <t>CẦN LÀM</t>
        </is>
      </c>
      <c r="I20" s="11" t="inlineStr">
        <is>
          <t>CsvHelper.java, CertificateRepository.java - Ánh xạ MSSV vào subcollection</t>
        </is>
      </c>
    </row>
    <row r="21">
      <c r="A21" s="2" t="inlineStr">
        <is>
          <t>T20</t>
        </is>
      </c>
      <c r="B21" s="11" t="inlineStr">
        <is>
          <t>TC-01..08, 22, 23</t>
        </is>
      </c>
      <c r="C21" s="11" t="inlineStr">
        <is>
          <t>Kiểm thử chéo: Thành viên B test độc lập Auth/User của A</t>
        </is>
      </c>
      <c r="D21" s="2" t="inlineStr">
        <is>
          <t>Kiểm thử</t>
        </is>
      </c>
      <c r="E21" s="2" t="inlineStr">
        <is>
          <t>THÀNH VIÊN B</t>
        </is>
      </c>
      <c r="F21" s="2" t="inlineStr">
        <is>
          <t>2026-11-07</t>
        </is>
      </c>
      <c r="G21" s="2" t="n">
        <v>4</v>
      </c>
      <c r="H21" s="2" t="inlineStr">
        <is>
          <t>CẦN LÀM</t>
        </is>
      </c>
      <c r="I21" s="11" t="inlineStr">
        <is>
          <t>docs/test-and-setup.md (Bảng kết quả test) - B test nghiệm thu code của A</t>
        </is>
      </c>
    </row>
    <row r="22">
      <c r="A22" s="2" t="inlineStr">
        <is>
          <t>T21</t>
        </is>
      </c>
      <c r="B22" s="11" t="inlineStr">
        <is>
          <t>TC-03, 07, 10, 15</t>
        </is>
      </c>
      <c r="C22" s="11" t="inlineStr">
        <is>
          <t>Kiểm thử trường hợp biên &amp; Security Rules Simulator</t>
        </is>
      </c>
      <c r="D22" s="2" t="inlineStr">
        <is>
          <t>Kiểm thử</t>
        </is>
      </c>
      <c r="E22" s="2" t="inlineStr">
        <is>
          <t>THÀNH VIÊN B</t>
        </is>
      </c>
      <c r="F22" s="2" t="inlineStr">
        <is>
          <t>2026-11-07</t>
        </is>
      </c>
      <c r="G22" s="2" t="n">
        <v>3</v>
      </c>
      <c r="H22" s="2" t="inlineStr">
        <is>
          <t>CẦN LÀM</t>
        </is>
      </c>
      <c r="I22" s="11" t="inlineStr">
        <is>
          <t>docs/test-and-setup.md - Thử truy cập trái quyền</t>
        </is>
      </c>
    </row>
    <row r="23">
      <c r="A23" s="2" t="inlineStr">
        <is>
          <t>T22</t>
        </is>
      </c>
      <c r="B23" s="11" t="inlineStr">
        <is>
          <t>TC-09..21, 24, 25, 27</t>
        </is>
      </c>
      <c r="C23" s="11" t="inlineStr">
        <is>
          <t>Kiểm thử chéo: Thành viên A test độc lập Student/CSV của B</t>
        </is>
      </c>
      <c r="D23" s="2" t="inlineStr">
        <is>
          <t>Kiểm thử</t>
        </is>
      </c>
      <c r="E23" s="2" t="inlineStr">
        <is>
          <t>THÀNH VIÊN A</t>
        </is>
      </c>
      <c r="F23" s="2" t="inlineStr">
        <is>
          <t>2026-11-07</t>
        </is>
      </c>
      <c r="G23" s="2" t="n">
        <v>4</v>
      </c>
      <c r="H23" s="2" t="inlineStr">
        <is>
          <t>CẦN LÀM</t>
        </is>
      </c>
      <c r="I23" s="11" t="inlineStr">
        <is>
          <t>docs/test-and-setup.md (Bảng kết quả test) - A test nghiệm thu code của B</t>
        </is>
      </c>
    </row>
    <row r="24">
      <c r="A24" s="2" t="inlineStr">
        <is>
          <t>T23</t>
        </is>
      </c>
      <c r="B24" s="11" t="inlineStr">
        <is>
          <t>NFR-DEMO</t>
        </is>
      </c>
      <c r="C24" s="11" t="inlineStr">
        <is>
          <t>Chuẩn bị dữ liệu demo, kịch bản chi tiết và thiết bị quay</t>
        </is>
      </c>
      <c r="D24" s="2" t="inlineStr">
        <is>
          <t>Demo</t>
        </is>
      </c>
      <c r="E24" s="2" t="inlineStr">
        <is>
          <t>THÀNH VIÊN B</t>
        </is>
      </c>
      <c r="F24" s="2" t="inlineStr">
        <is>
          <t>2026-11-14</t>
        </is>
      </c>
      <c r="G24" s="2" t="n">
        <v>3</v>
      </c>
      <c r="H24" s="2" t="inlineStr">
        <is>
          <t>CẦN LÀM</t>
        </is>
      </c>
      <c r="I24" s="11" t="inlineStr">
        <is>
          <t>docs/demo-script.md, sample-data/ - Cài đặt 2 máy ảo/thiết bị split-screen</t>
        </is>
      </c>
    </row>
    <row r="25">
      <c r="A25" s="2" t="inlineStr">
        <is>
          <t>T24</t>
        </is>
      </c>
      <c r="B25" s="11" t="inlineStr">
        <is>
          <t>NFR-DEMO</t>
        </is>
      </c>
      <c r="C25" s="11" t="inlineStr">
        <is>
          <t>Thuyết minh và quay video demo hoàn chỉnh (&lt;= 20 phút)</t>
        </is>
      </c>
      <c r="D25" s="2" t="inlineStr">
        <is>
          <t>Demo</t>
        </is>
      </c>
      <c r="E25" s="2" t="inlineStr">
        <is>
          <t>THÀNH VIÊN A</t>
        </is>
      </c>
      <c r="F25" s="2" t="inlineStr">
        <is>
          <t>2026-11-14</t>
        </is>
      </c>
      <c r="G25" s="2" t="n">
        <v>3</v>
      </c>
      <c r="H25" s="2" t="inlineStr">
        <is>
          <t>CẦN LÀM</t>
        </is>
      </c>
      <c r="I25" s="11" t="inlineStr">
        <is>
          <t>Video demo 720p+ MP4 - A nói, B phụ trách thiết bị và góc quay</t>
        </is>
      </c>
    </row>
    <row r="26">
      <c r="A26" s="2" t="inlineStr">
        <is>
          <t>T25</t>
        </is>
      </c>
      <c r="B26" s="11" t="inlineStr">
        <is>
          <t>NFR-REL</t>
        </is>
      </c>
      <c r="C26" s="11" t="inlineStr">
        <is>
          <t>Vá lỗi cuối cùng, nghiệm thu tổng thể &amp; đóng gói bài nộp</t>
        </is>
      </c>
      <c r="D26" s="2" t="inlineStr">
        <is>
          <t>Kiểm thử</t>
        </is>
      </c>
      <c r="E26" s="2" t="inlineStr">
        <is>
          <t>THÀNH VIÊN A</t>
        </is>
      </c>
      <c r="F26" s="2" t="inlineStr">
        <is>
          <t>2026-11-14</t>
        </is>
      </c>
      <c r="G26" s="2" t="n">
        <v>2</v>
      </c>
      <c r="H26" s="2" t="inlineStr">
        <is>
          <t>CẦN LÀM</t>
        </is>
      </c>
      <c r="I26" s="11" t="inlineStr">
        <is>
          <t>Gói nộp bài hoàn chỉnh - Dry run trên máy sạch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8" customWidth="1" min="3" max="3"/>
    <col width="15" customWidth="1" min="4" max="4"/>
    <col width="14" customWidth="1" min="5" max="5"/>
    <col width="13" customWidth="1" min="6" max="6"/>
  </cols>
  <sheetData>
    <row r="1">
      <c r="A1" s="10" t="inlineStr">
        <is>
          <t>Tính năng / Yêu cầu</t>
        </is>
      </c>
      <c r="B1" s="10" t="inlineStr">
        <is>
          <t>Khung điểm</t>
        </is>
      </c>
      <c r="C1" s="10" t="inlineStr">
        <is>
          <t>Người phụ trách</t>
        </is>
      </c>
      <c r="D1" s="10" t="inlineStr">
        <is>
          <t>Đã lập trình</t>
        </is>
      </c>
      <c r="E1" s="10" t="inlineStr">
        <is>
          <t>Đã kiểm thử</t>
        </is>
      </c>
      <c r="F1" s="10" t="inlineStr">
        <is>
          <t>Trạng thái</t>
        </is>
      </c>
    </row>
    <row r="2">
      <c r="A2" s="2" t="inlineStr">
        <is>
          <t>Tài khoản – Đăng nhập</t>
        </is>
      </c>
      <c r="B2" s="11" t="inlineStr">
        <is>
          <t>Tài khoản 1.5đ</t>
        </is>
      </c>
      <c r="C2" s="11" t="inlineStr">
        <is>
          <t>THÀNH VIÊN A</t>
        </is>
      </c>
      <c r="D2" s="2" t="inlineStr">
        <is>
          <t>Chưa</t>
        </is>
      </c>
      <c r="E2" s="2" t="inlineStr">
        <is>
          <t>Chưa</t>
        </is>
      </c>
      <c r="F2" s="2" t="inlineStr">
        <is>
          <t>Cần làm</t>
        </is>
      </c>
    </row>
    <row r="3">
      <c r="A3" s="2" t="inlineStr">
        <is>
          <t>Tài khoản – Đổi ảnh đại diện</t>
        </is>
      </c>
      <c r="B3" s="11" t="inlineStr">
        <is>
          <t>Tài khoản 1.5đ</t>
        </is>
      </c>
      <c r="C3" s="11" t="inlineStr">
        <is>
          <t>THÀNH VIÊN A</t>
        </is>
      </c>
      <c r="D3" s="2" t="inlineStr">
        <is>
          <t>Chưa</t>
        </is>
      </c>
      <c r="E3" s="2" t="inlineStr">
        <is>
          <t>Chưa</t>
        </is>
      </c>
      <c r="F3" s="2" t="inlineStr">
        <is>
          <t>Cần làm</t>
        </is>
      </c>
    </row>
    <row r="4">
      <c r="A4" s="2" t="inlineStr">
        <is>
          <t>Tài khoản – Xem lịch sử đăng nhập</t>
        </is>
      </c>
      <c r="B4" s="11" t="inlineStr">
        <is>
          <t>Tài khoản 1.5đ</t>
        </is>
      </c>
      <c r="C4" s="11" t="inlineStr">
        <is>
          <t>THÀNH VIÊN A</t>
        </is>
      </c>
      <c r="D4" s="2" t="inlineStr">
        <is>
          <t>Chưa</t>
        </is>
      </c>
      <c r="E4" s="2" t="inlineStr">
        <is>
          <t>Chưa</t>
        </is>
      </c>
      <c r="F4" s="2" t="inlineStr">
        <is>
          <t>Cần làm</t>
        </is>
      </c>
    </row>
    <row r="5">
      <c r="A5" s="2" t="inlineStr">
        <is>
          <t>Người dùng – Xem danh sách người dùng</t>
        </is>
      </c>
      <c r="B5" s="11" t="inlineStr">
        <is>
          <t>Người dùng 2.0đ</t>
        </is>
      </c>
      <c r="C5" s="11" t="inlineStr">
        <is>
          <t>THÀNH VIÊN A</t>
        </is>
      </c>
      <c r="D5" s="2" t="inlineStr">
        <is>
          <t>Chưa</t>
        </is>
      </c>
      <c r="E5" s="2" t="inlineStr">
        <is>
          <t>Chưa</t>
        </is>
      </c>
      <c r="F5" s="2" t="inlineStr">
        <is>
          <t>Cần làm</t>
        </is>
      </c>
    </row>
    <row r="6">
      <c r="A6" s="2" t="inlineStr">
        <is>
          <t>Người dùng – Thêm người dùng (tên, tuổi, SĐT, TT)</t>
        </is>
      </c>
      <c r="B6" s="11" t="inlineStr">
        <is>
          <t>Người dùng 2.0đ</t>
        </is>
      </c>
      <c r="C6" s="11" t="inlineStr">
        <is>
          <t>THÀNH VIÊN A</t>
        </is>
      </c>
      <c r="D6" s="2" t="inlineStr">
        <is>
          <t>Chưa</t>
        </is>
      </c>
      <c r="E6" s="2" t="inlineStr">
        <is>
          <t>Chưa</t>
        </is>
      </c>
      <c r="F6" s="2" t="inlineStr">
        <is>
          <t>Cần làm</t>
        </is>
      </c>
    </row>
    <row r="7">
      <c r="A7" s="2" t="inlineStr">
        <is>
          <t>Người dùng – Sửa người dùng</t>
        </is>
      </c>
      <c r="B7" s="11" t="inlineStr">
        <is>
          <t>Người dùng 2.0đ</t>
        </is>
      </c>
      <c r="C7" s="11" t="inlineStr">
        <is>
          <t>THÀNH VIÊN A</t>
        </is>
      </c>
      <c r="D7" s="2" t="inlineStr">
        <is>
          <t>Chưa</t>
        </is>
      </c>
      <c r="E7" s="2" t="inlineStr">
        <is>
          <t>Chưa</t>
        </is>
      </c>
      <c r="F7" s="2" t="inlineStr">
        <is>
          <t>Cần làm</t>
        </is>
      </c>
    </row>
    <row r="8">
      <c r="A8" s="2" t="inlineStr">
        <is>
          <t>Người dùng – Xóa người dùng</t>
        </is>
      </c>
      <c r="B8" s="11" t="inlineStr">
        <is>
          <t>Người dùng 2.0đ</t>
        </is>
      </c>
      <c r="C8" s="11" t="inlineStr">
        <is>
          <t>THÀNH VIÊN A</t>
        </is>
      </c>
      <c r="D8" s="2" t="inlineStr">
        <is>
          <t>Chưa</t>
        </is>
      </c>
      <c r="E8" s="2" t="inlineStr">
        <is>
          <t>Chưa</t>
        </is>
      </c>
      <c r="F8" s="2" t="inlineStr">
        <is>
          <t>Cần làm</t>
        </is>
      </c>
    </row>
    <row r="9">
      <c r="A9" s="2" t="inlineStr">
        <is>
          <t>Người dùng – Khóa/mở khóa (Normal/Locked)</t>
        </is>
      </c>
      <c r="B9" s="11" t="inlineStr">
        <is>
          <t>Người dùng 2.0đ</t>
        </is>
      </c>
      <c r="C9" s="11" t="inlineStr">
        <is>
          <t>THÀNH VIÊN A</t>
        </is>
      </c>
      <c r="D9" s="2" t="inlineStr">
        <is>
          <t>Chưa</t>
        </is>
      </c>
      <c r="E9" s="2" t="inlineStr">
        <is>
          <t>Chưa</t>
        </is>
      </c>
      <c r="F9" s="2" t="inlineStr">
        <is>
          <t>Cần làm</t>
        </is>
      </c>
    </row>
    <row r="10">
      <c r="A10" s="2" t="inlineStr">
        <is>
          <t>Người dùng – Xem lịch sử đăng nhập theo user</t>
        </is>
      </c>
      <c r="B10" s="11" t="inlineStr">
        <is>
          <t>Người dùng 2.0đ</t>
        </is>
      </c>
      <c r="C10" s="11" t="inlineStr">
        <is>
          <t>THÀNH VIÊN A</t>
        </is>
      </c>
      <c r="D10" s="2" t="inlineStr">
        <is>
          <t>Chưa</t>
        </is>
      </c>
      <c r="E10" s="2" t="inlineStr">
        <is>
          <t>Chưa</t>
        </is>
      </c>
      <c r="F10" s="2" t="inlineStr">
        <is>
          <t>Cần làm</t>
        </is>
      </c>
    </row>
    <row r="11">
      <c r="A11" s="2" t="inlineStr">
        <is>
          <t>Sinh viên – Danh sách sinh viên</t>
        </is>
      </c>
      <c r="B11" s="11" t="inlineStr">
        <is>
          <t>Sinh viên</t>
        </is>
      </c>
      <c r="C11" s="11" t="inlineStr">
        <is>
          <t>THÀNH VIÊN B</t>
        </is>
      </c>
      <c r="D11" s="2" t="inlineStr">
        <is>
          <t>Chưa</t>
        </is>
      </c>
      <c r="E11" s="2" t="inlineStr">
        <is>
          <t>Chưa</t>
        </is>
      </c>
      <c r="F11" s="2" t="inlineStr">
        <is>
          <t>Cần làm</t>
        </is>
      </c>
    </row>
    <row r="12">
      <c r="A12" s="2" t="inlineStr">
        <is>
          <t>Sinh viên – Thêm sinh viên</t>
        </is>
      </c>
      <c r="B12" s="11" t="inlineStr">
        <is>
          <t>Sinh viên</t>
        </is>
      </c>
      <c r="C12" s="11" t="inlineStr">
        <is>
          <t>THÀNH VIÊN B</t>
        </is>
      </c>
      <c r="D12" s="2" t="inlineStr">
        <is>
          <t>Chưa</t>
        </is>
      </c>
      <c r="E12" s="2" t="inlineStr">
        <is>
          <t>Chưa</t>
        </is>
      </c>
      <c r="F12" s="2" t="inlineStr">
        <is>
          <t>Cần làm</t>
        </is>
      </c>
    </row>
    <row r="13">
      <c r="A13" s="2" t="inlineStr">
        <is>
          <t>Sinh viên – Sửa sinh viên</t>
        </is>
      </c>
      <c r="B13" s="11" t="inlineStr">
        <is>
          <t>Sinh viên</t>
        </is>
      </c>
      <c r="C13" s="11" t="inlineStr">
        <is>
          <t>THÀNH VIÊN B</t>
        </is>
      </c>
      <c r="D13" s="2" t="inlineStr">
        <is>
          <t>Chưa</t>
        </is>
      </c>
      <c r="E13" s="2" t="inlineStr">
        <is>
          <t>Chưa</t>
        </is>
      </c>
      <c r="F13" s="2" t="inlineStr">
        <is>
          <t>Cần làm</t>
        </is>
      </c>
    </row>
    <row r="14">
      <c r="A14" s="2" t="inlineStr">
        <is>
          <t>Sinh viên – Xóa sinh viên</t>
        </is>
      </c>
      <c r="B14" s="11" t="inlineStr">
        <is>
          <t>Sinh viên</t>
        </is>
      </c>
      <c r="C14" s="11" t="inlineStr">
        <is>
          <t>THÀNH VIÊN B</t>
        </is>
      </c>
      <c r="D14" s="2" t="inlineStr">
        <is>
          <t>Chưa</t>
        </is>
      </c>
      <c r="E14" s="2" t="inlineStr">
        <is>
          <t>Chưa</t>
        </is>
      </c>
      <c r="F14" s="2" t="inlineStr">
        <is>
          <t>Cần làm</t>
        </is>
      </c>
    </row>
    <row r="15">
      <c r="A15" s="2" t="inlineStr">
        <is>
          <t>Sinh viên – Tìm kiếm đa tiêu chí</t>
        </is>
      </c>
      <c r="B15" s="11" t="inlineStr">
        <is>
          <t>Sinh viên</t>
        </is>
      </c>
      <c r="C15" s="11" t="inlineStr">
        <is>
          <t>THÀNH VIÊN B</t>
        </is>
      </c>
      <c r="D15" s="2" t="inlineStr">
        <is>
          <t>Chưa</t>
        </is>
      </c>
      <c r="E15" s="2" t="inlineStr">
        <is>
          <t>Chưa</t>
        </is>
      </c>
      <c r="F15" s="2" t="inlineStr">
        <is>
          <t>Cần làm</t>
        </is>
      </c>
    </row>
    <row r="16">
      <c r="A16" s="2" t="inlineStr">
        <is>
          <t>Sinh viên – Sắp xếp đa tiêu chí</t>
        </is>
      </c>
      <c r="B16" s="11" t="inlineStr">
        <is>
          <t>Sinh viên</t>
        </is>
      </c>
      <c r="C16" s="11" t="inlineStr">
        <is>
          <t>THÀNH VIÊN B</t>
        </is>
      </c>
      <c r="D16" s="2" t="inlineStr">
        <is>
          <t>Chưa</t>
        </is>
      </c>
      <c r="E16" s="2" t="inlineStr">
        <is>
          <t>Chưa</t>
        </is>
      </c>
      <c r="F16" s="2" t="inlineStr">
        <is>
          <t>Cần làm</t>
        </is>
      </c>
    </row>
    <row r="17">
      <c r="A17" s="2" t="inlineStr">
        <is>
          <t>Sinh viên – Trang chi tiết</t>
        </is>
      </c>
      <c r="B17" s="11" t="inlineStr">
        <is>
          <t>Sinh viên</t>
        </is>
      </c>
      <c r="C17" s="11" t="inlineStr">
        <is>
          <t>THÀNH VIÊN B</t>
        </is>
      </c>
      <c r="D17" s="2" t="inlineStr">
        <is>
          <t>Chưa</t>
        </is>
      </c>
      <c r="E17" s="2" t="inlineStr">
        <is>
          <t>Chưa</t>
        </is>
      </c>
      <c r="F17" s="2" t="inlineStr">
        <is>
          <t>Cần làm</t>
        </is>
      </c>
    </row>
    <row r="18">
      <c r="A18" s="2" t="inlineStr">
        <is>
          <t>Chứng chỉ – Danh sách</t>
        </is>
      </c>
      <c r="B18" s="11" t="inlineStr">
        <is>
          <t>Sinh viên</t>
        </is>
      </c>
      <c r="C18" s="11" t="inlineStr">
        <is>
          <t>THÀNH VIÊN B</t>
        </is>
      </c>
      <c r="D18" s="2" t="inlineStr">
        <is>
          <t>Chưa</t>
        </is>
      </c>
      <c r="E18" s="2" t="inlineStr">
        <is>
          <t>Chưa</t>
        </is>
      </c>
      <c r="F18" s="2" t="inlineStr">
        <is>
          <t>Cần làm</t>
        </is>
      </c>
    </row>
    <row r="19">
      <c r="A19" s="2" t="inlineStr">
        <is>
          <t>Chứng chỉ – Thêm/Sửa/Xóa</t>
        </is>
      </c>
      <c r="B19" s="11" t="inlineStr">
        <is>
          <t>Sinh viên</t>
        </is>
      </c>
      <c r="C19" s="11" t="inlineStr">
        <is>
          <t>THÀNH VIÊN B</t>
        </is>
      </c>
      <c r="D19" s="2" t="inlineStr">
        <is>
          <t>Chưa</t>
        </is>
      </c>
      <c r="E19" s="2" t="inlineStr">
        <is>
          <t>Chưa</t>
        </is>
      </c>
      <c r="F19" s="2" t="inlineStr">
        <is>
          <t>Cần làm</t>
        </is>
      </c>
    </row>
    <row r="20">
      <c r="A20" s="2" t="inlineStr">
        <is>
          <t>Import/Export – Import sinh viên từ file</t>
        </is>
      </c>
      <c r="B20" s="11" t="inlineStr">
        <is>
          <t>Import/Export 1.0đ</t>
        </is>
      </c>
      <c r="C20" s="11" t="inlineStr">
        <is>
          <t>THÀNH VIÊN B</t>
        </is>
      </c>
      <c r="D20" s="2" t="inlineStr">
        <is>
          <t>Chưa</t>
        </is>
      </c>
      <c r="E20" s="2" t="inlineStr">
        <is>
          <t>Chưa</t>
        </is>
      </c>
      <c r="F20" s="2" t="inlineStr">
        <is>
          <t>Cần làm</t>
        </is>
      </c>
    </row>
    <row r="21">
      <c r="A21" s="2" t="inlineStr">
        <is>
          <t>Import/Export – Export sinh viên ra CSV/Excel</t>
        </is>
      </c>
      <c r="B21" s="11" t="inlineStr">
        <is>
          <t>Import/Export 1.0đ</t>
        </is>
      </c>
      <c r="C21" s="11" t="inlineStr">
        <is>
          <t>THÀNH VIÊN B</t>
        </is>
      </c>
      <c r="D21" s="2" t="inlineStr">
        <is>
          <t>Chưa</t>
        </is>
      </c>
      <c r="E21" s="2" t="inlineStr">
        <is>
          <t>Chưa</t>
        </is>
      </c>
      <c r="F21" s="2" t="inlineStr">
        <is>
          <t>Cần làm</t>
        </is>
      </c>
    </row>
    <row r="22">
      <c r="A22" s="2" t="inlineStr">
        <is>
          <t>Import/Export – Import chứng chỉ từ file</t>
        </is>
      </c>
      <c r="B22" s="11" t="inlineStr">
        <is>
          <t>Import/Export 1.0đ</t>
        </is>
      </c>
      <c r="C22" s="11" t="inlineStr">
        <is>
          <t>THÀNH VIÊN B</t>
        </is>
      </c>
      <c r="D22" s="2" t="inlineStr">
        <is>
          <t>Chưa</t>
        </is>
      </c>
      <c r="E22" s="2" t="inlineStr">
        <is>
          <t>Chưa</t>
        </is>
      </c>
      <c r="F22" s="2" t="inlineStr">
        <is>
          <t>Cần làm</t>
        </is>
      </c>
    </row>
    <row r="23">
      <c r="A23" s="2" t="inlineStr">
        <is>
          <t>Import/Export – Export chứng chỉ ra CSV/Excel</t>
        </is>
      </c>
      <c r="B23" s="11" t="inlineStr">
        <is>
          <t>Import/Export 1.0đ</t>
        </is>
      </c>
      <c r="C23" s="11" t="inlineStr">
        <is>
          <t>THÀNH VIÊN B</t>
        </is>
      </c>
      <c r="D23" s="2" t="inlineStr">
        <is>
          <t>Chưa</t>
        </is>
      </c>
      <c r="E23" s="2" t="inlineStr">
        <is>
          <t>Chưa</t>
        </is>
      </c>
      <c r="F23" s="2" t="inlineStr">
        <is>
          <t>Cần làm</t>
        </is>
      </c>
    </row>
    <row r="24">
      <c r="A24" s="2" t="inlineStr">
        <is>
          <t>Vai trò – Admin: toàn quyền</t>
        </is>
      </c>
      <c r="B24" s="11" t="inlineStr">
        <is>
          <t>Bảo mật</t>
        </is>
      </c>
      <c r="C24" s="11" t="inlineStr">
        <is>
          <t>THÀNH VIÊN A</t>
        </is>
      </c>
      <c r="D24" s="2" t="inlineStr">
        <is>
          <t>Chưa</t>
        </is>
      </c>
      <c r="E24" s="2" t="inlineStr">
        <is>
          <t>Chưa</t>
        </is>
      </c>
      <c r="F24" s="2" t="inlineStr">
        <is>
          <t>Cần làm</t>
        </is>
      </c>
    </row>
    <row r="25">
      <c r="A25" s="2" t="inlineStr">
        <is>
          <t>Vai trò – Manager: chức năng sinh viên</t>
        </is>
      </c>
      <c r="B25" s="11" t="inlineStr">
        <is>
          <t>Bảo mật</t>
        </is>
      </c>
      <c r="C25" s="11" t="inlineStr">
        <is>
          <t>THÀNH VIÊN A</t>
        </is>
      </c>
      <c r="D25" s="2" t="inlineStr">
        <is>
          <t>Chưa</t>
        </is>
      </c>
      <c r="E25" s="2" t="inlineStr">
        <is>
          <t>Chưa</t>
        </is>
      </c>
      <c r="F25" s="2" t="inlineStr">
        <is>
          <t>Cần làm</t>
        </is>
      </c>
    </row>
    <row r="26">
      <c r="A26" s="2" t="inlineStr">
        <is>
          <t>Vai trò – Employee: chỉ xem + đổi avatar</t>
        </is>
      </c>
      <c r="B26" s="11" t="inlineStr">
        <is>
          <t>Bảo mật</t>
        </is>
      </c>
      <c r="C26" s="11" t="inlineStr">
        <is>
          <t>THÀNH VIÊN A</t>
        </is>
      </c>
      <c r="D26" s="2" t="inlineStr">
        <is>
          <t>Chưa</t>
        </is>
      </c>
      <c r="E26" s="2" t="inlineStr">
        <is>
          <t>Chưa</t>
        </is>
      </c>
      <c r="F26" s="2" t="inlineStr">
        <is>
          <t>Cần làm</t>
        </is>
      </c>
    </row>
    <row r="27">
      <c r="A27" s="2" t="inlineStr">
        <is>
          <t>Chỉ Admin mới tạo tài khoản</t>
        </is>
      </c>
      <c r="B27" s="11" t="inlineStr">
        <is>
          <t>Bảo mật</t>
        </is>
      </c>
      <c r="C27" s="11" t="inlineStr">
        <is>
          <t>THÀNH VIÊN A</t>
        </is>
      </c>
      <c r="D27" s="2" t="inlineStr">
        <is>
          <t>Chưa</t>
        </is>
      </c>
      <c r="E27" s="2" t="inlineStr">
        <is>
          <t>Chưa</t>
        </is>
      </c>
      <c r="F27" s="2" t="inlineStr">
        <is>
          <t>Cần làm</t>
        </is>
      </c>
    </row>
    <row r="28">
      <c r="A28" s="2" t="inlineStr">
        <is>
          <t>Giao diện – Nhất quán, Material Design</t>
        </is>
      </c>
      <c r="B28" s="11" t="inlineStr">
        <is>
          <t>UI 1.0đ</t>
        </is>
      </c>
      <c r="C28" s="11" t="inlineStr">
        <is>
          <t>Chung</t>
        </is>
      </c>
      <c r="D28" s="2" t="inlineStr">
        <is>
          <t>Chưa</t>
        </is>
      </c>
      <c r="E28" s="2" t="inlineStr">
        <is>
          <t>Chưa</t>
        </is>
      </c>
      <c r="F28" s="2" t="inlineStr">
        <is>
          <t>Cần làm</t>
        </is>
      </c>
    </row>
    <row r="29">
      <c r="A29" s="2" t="inlineStr">
        <is>
          <t>Ổn định – Không crash khi demo</t>
        </is>
      </c>
      <c r="B29" s="11" t="inlineStr">
        <is>
          <t>Ổn định 0.5đ</t>
        </is>
      </c>
      <c r="C29" s="11" t="inlineStr">
        <is>
          <t>Chung</t>
        </is>
      </c>
      <c r="D29" s="2" t="inlineStr">
        <is>
          <t>Chưa</t>
        </is>
      </c>
      <c r="E29" s="2" t="inlineStr">
        <is>
          <t>Chưa</t>
        </is>
      </c>
      <c r="F29" s="2" t="inlineStr">
        <is>
          <t>Cần làm</t>
        </is>
      </c>
    </row>
    <row r="30">
      <c r="A30" s="2" t="inlineStr">
        <is>
          <t>Video demo (≤ 20 phút, 720p, có âm thanh)</t>
        </is>
      </c>
      <c r="B30" s="11" t="inlineStr">
        <is>
          <t>Bắt buộc</t>
        </is>
      </c>
      <c r="C30" s="11" t="inlineStr">
        <is>
          <t>Chung</t>
        </is>
      </c>
      <c r="D30" s="2" t="inlineStr">
        <is>
          <t>Chưa</t>
        </is>
      </c>
      <c r="E30" s="2" t="inlineStr">
        <is>
          <t>Chưa</t>
        </is>
      </c>
      <c r="F30" s="2" t="inlineStr">
        <is>
          <t>Cần làm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48" customWidth="1" min="3" max="3"/>
  </cols>
  <sheetData>
    <row r="1">
      <c r="A1" s="10" t="inlineStr">
        <is>
          <t>Chỉ số</t>
        </is>
      </c>
      <c r="B1" s="10" t="inlineStr">
        <is>
          <t>THÀNH VIÊN A (Tan)</t>
        </is>
      </c>
      <c r="C1" s="10" t="inlineStr">
        <is>
          <t>THÀNH VIÊN B</t>
        </is>
      </c>
    </row>
    <row r="2">
      <c r="A2" s="5" t="inlineStr">
        <is>
          <t>Tổng số công việc</t>
        </is>
      </c>
      <c r="B2" s="5">
        <f>COUNTIF('Theo Dõi Công Việc'!E:E,"THÀNH VIÊN A")</f>
        <v/>
      </c>
      <c r="C2" s="5">
        <f>COUNTIF('Theo Dõi Công Việc'!E:E,"THÀNH VIÊN B")</f>
        <v/>
      </c>
    </row>
    <row r="3">
      <c r="A3" s="5" t="inlineStr">
        <is>
          <t>Tổng giờ ước tính</t>
        </is>
      </c>
      <c r="B3" s="5">
        <f>SUMIF('Theo Dõi Công Việc'!E:E,"THÀNH VIÊN A",'Theo Dõi Công Việc'!G:G)</f>
        <v/>
      </c>
      <c r="C3" s="5">
        <f>SUMIF('Theo Dõi Công Việc'!E:E,"THÀNH VIÊN B",'Theo Dõi Công Việc'!G:G)</f>
        <v/>
      </c>
    </row>
    <row r="4">
      <c r="A4" s="5" t="inlineStr">
        <is>
          <t>Công việc đã xong</t>
        </is>
      </c>
      <c r="B4" s="5">
        <f>COUNTIFS('Theo Dõi Công Việc'!E:E,"THÀNH VIÊN A",'Theo Dõi Công Việc'!H:H,"HOÀN THÀNH")</f>
        <v/>
      </c>
      <c r="C4" s="5">
        <f>COUNTIFS('Theo Dõi Công Việc'!E:E,"THÀNH VIÊN B",'Theo Dõi Công Việc'!H:H,"HOÀN THÀNH")</f>
        <v/>
      </c>
    </row>
    <row r="5">
      <c r="A5" s="5" t="inlineStr">
        <is>
          <t>Tỷ lệ khối lượng %</t>
        </is>
      </c>
      <c r="B5" s="12">
        <f>B3/(B3+C3)</f>
        <v/>
      </c>
      <c r="C5" s="12">
        <f>C3/(B3+C3)</f>
        <v/>
      </c>
    </row>
    <row r="6">
      <c r="A6" s="5" t="inlineStr">
        <is>
          <t>Chênh lệch %</t>
        </is>
      </c>
      <c r="B6" s="12">
        <f>ABS(B5-C5)</f>
        <v/>
      </c>
      <c r="C6" s="5" t="inlineStr"/>
    </row>
    <row r="7">
      <c r="A7" s="5" t="inlineStr">
        <is>
          <t>Đánh giá cân bằng</t>
        </is>
      </c>
      <c r="B7" s="5">
        <f>IF(B6&lt;=0.05,"CAN BANG (50/50)",IF(B6&lt;=0.1,"HOI LECH","LECH NHIEU"))</f>
        <v/>
      </c>
      <c r="C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2026-10-07T11:32:19Z</dcterms:created>
  <dcterms:modified xmlns:dcterms="http://purl.org/dc/terms/" xmlns:xsi="http://www.w3.org/2001/XMLSchema-instance" xsi:type="dcterms:W3CDTF">2026-10-08T13:59:28Z</dcterms:modified>
</cp:coreProperties>
</file>